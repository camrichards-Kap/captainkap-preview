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Y CARDS" sheetId="2" state="visible" r:id="rId4"/>
    <sheet name="BENEFITS TRACKER" sheetId="3" state="visible" r:id="rId5"/>
    <sheet name="CARD DATABASE" sheetId="4" state="visible" r:id="rId6"/>
    <sheet name="CARD COMPARISON" sheetId="5" state="visible" r:id="rId7"/>
    <sheet name="MY SPENDING" sheetId="6" state="visible" r:id="rId8"/>
    <sheet name="WELCOME BONUSES" sheetId="7" state="visible" r:id="rId9"/>
    <sheet name="CARD ROADMAP" sheetId="8" state="visible" r:id="rId10"/>
    <sheet name="ANNUAL FEE REVIEW" sheetId="9" state="visible" r:id="rId11"/>
    <sheet name="DASHBOA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<sst xmlns="http://schemas.openxmlformats.org/spreadsheetml/2006/main" count="240" uniqueCount="176">
  <si>
    <t xml:space="preserve">Credit Card Optimization System</t>
  </si>
  <si>
    <t xml:space="preserve">Captain Kap · Know what you have. Know what you're missing. Know what to get next.</t>
  </si>
  <si>
    <t xml:space="preserve">HOW TO USE THIS WORKBOOK</t>
  </si>
  <si>
    <t xml:space="preserve">1. MY CARDS</t>
  </si>
  <si>
    <t xml:space="preserve">List every card you hold. Pick the card from the dropdown — fee auto-fills from the database.</t>
  </si>
  <si>
    <t xml:space="preserve">2. BENEFITS TRACKER</t>
  </si>
  <si>
    <t xml:space="preserve">List each card's credits and log what you've used. Remaining value calculates automatically.</t>
  </si>
  <si>
    <t xml:space="preserve">3. WELCOME BONUSES</t>
  </si>
  <si>
    <t xml:space="preserve">Track each active offer: spend so far, deadline, and your suggested daily pace update live.</t>
  </si>
  <si>
    <t xml:space="preserve">4. MY SPENDING</t>
  </si>
  <si>
    <t xml:space="preserve">Map your monthly categories to the best card in your wallet.</t>
  </si>
  <si>
    <t xml:space="preserve">5. CARD COMPARISON</t>
  </si>
  <si>
    <t xml:space="preserve">Pick up to three cards from the dropdowns for a side-by-side pull from the database.</t>
  </si>
  <si>
    <t xml:space="preserve">6. CARD ROADMAP</t>
  </si>
  <si>
    <t xml:space="preserve">Plan which cards to pursue, in order, with target dates and status.</t>
  </si>
  <si>
    <t xml:space="preserve">7. ANNUAL FEE REVIEW</t>
  </si>
  <si>
    <t xml:space="preserve">Each card's fee vs. value used → a KEEP / REVIEW signal.</t>
  </si>
  <si>
    <t xml:space="preserve">8. DASHBOARD</t>
  </si>
  <si>
    <t xml:space="preserve">Your whole strategy at a glance — totals update from the other tabs.</t>
  </si>
  <si>
    <t xml:space="preserve">LEGEND</t>
  </si>
  <si>
    <t xml:space="preserve">Blue text</t>
  </si>
  <si>
    <t xml:space="preserve">Your inputs — type over these</t>
  </si>
  <si>
    <t xml:space="preserve">Black text</t>
  </si>
  <si>
    <t xml:space="preserve">Formulas — leave these alone</t>
  </si>
  <si>
    <t xml:space="preserve">Yellow cells</t>
  </si>
  <si>
    <t xml:space="preserve">Key cells to fill in</t>
  </si>
  <si>
    <t xml:space="preserve">IMPORTANT</t>
  </si>
  <si>
    <t xml:space="preserve">Card data</t>
  </si>
  <si>
    <t xml:space="preserve">Fees/benefits from the Captain Kap toolkit card table, last verified 2026-01. Offers and terms change — verify with each issuer before applying.</t>
  </si>
  <si>
    <t xml:space="preserve">Military fee waivers</t>
  </si>
  <si>
    <t xml:space="preserve">Many issuers waive annual fees under SCRA/MLA for eligible active-duty members (often spouses). Eligibility varies — confirm with the issuer.</t>
  </si>
  <si>
    <t xml:space="preserve">Responsible use</t>
  </si>
  <si>
    <t xml:space="preserve">Rewards only have value when you pay in full and never spend beyond your normal budget to chase a bonus.</t>
  </si>
  <si>
    <t xml:space="preserve">Not advice</t>
  </si>
  <si>
    <t xml:space="preserve">Educational tracking tool — not financial advice, and no card is a recommendation or endorsement.</t>
  </si>
  <si>
    <t xml:space="preserve">My Cards</t>
  </si>
  <si>
    <t xml:space="preserve">Pick a card from the dropdown; Annual Fee auto-fills from the database (or type your own for custom cards). Blue = your inputs.</t>
  </si>
  <si>
    <t xml:space="preserve">Card</t>
  </si>
  <si>
    <t xml:space="preserve">Issuer</t>
  </si>
  <si>
    <t xml:space="preserve">Date Opened</t>
  </si>
  <si>
    <t xml:space="preserve">Annual Fee</t>
  </si>
  <si>
    <t xml:space="preserve">Credit Limit</t>
  </si>
  <si>
    <t xml:space="preserve">Current Balance</t>
  </si>
  <si>
    <t xml:space="preserve">Renewal Date</t>
  </si>
  <si>
    <t xml:space="preserve">Notes</t>
  </si>
  <si>
    <t xml:space="preserve">AMEX Gold</t>
  </si>
  <si>
    <t xml:space="preserve">American Express</t>
  </si>
  <si>
    <t xml:space="preserve">Example row — replace with your card</t>
  </si>
  <si>
    <t xml:space="preserve">Total fees:</t>
  </si>
  <si>
    <t xml:space="preserve">Benefits Tracker</t>
  </si>
  <si>
    <t xml:space="preserve">One row per credit/benefit. Estimated values are assumptions — value depends on whether you'd genuinely use the benefit.</t>
  </si>
  <si>
    <t xml:space="preserve">Benefit / Credit</t>
  </si>
  <si>
    <t xml:space="preserve">Est. Annual Value</t>
  </si>
  <si>
    <t xml:space="preserve">Used ($)</t>
  </si>
  <si>
    <t xml:space="preserve">Remaining</t>
  </si>
  <si>
    <t xml:space="preserve">Uber Cash ($10/mo)</t>
  </si>
  <si>
    <t xml:space="preserve">Example row — replace</t>
  </si>
  <si>
    <t xml:space="preserve">Totals:</t>
  </si>
  <si>
    <t xml:space="preserve">Card Database</t>
  </si>
  <si>
    <t xml:space="preserve">Source: Captain Kap Military Financial Readiness Toolkit card table · Last verified: 2026-01 · Verify current terms with each issuer. Welcome offers change frequently — check the issuer for the current offer.</t>
  </si>
  <si>
    <t xml:space="preserve">Military Fee*</t>
  </si>
  <si>
    <t xml:space="preserve">Headline Benefit</t>
  </si>
  <si>
    <t xml:space="preserve">Credits &amp; Benefits</t>
  </si>
  <si>
    <t xml:space="preserve">Est. Annual Value ($)**</t>
  </si>
  <si>
    <t xml:space="preserve">Military Notes</t>
  </si>
  <si>
    <t xml:space="preserve">Last Verified</t>
  </si>
  <si>
    <t xml:space="preserve">Welcome Offer</t>
  </si>
  <si>
    <t xml:space="preserve">Strong dining &amp; grocery rewards</t>
  </si>
  <si>
    <t xml:space="preserve">$10 Uber Cash/mo; $10 Dining Credit/mo; $7 Dunkin Credit/mo</t>
  </si>
  <si>
    <t xml:space="preserve">240-300</t>
  </si>
  <si>
    <t xml:space="preserve">Fee typically waived under SCRA/MLA for eligible active duty</t>
  </si>
  <si>
    <t xml:space="preserve">2026-01</t>
  </si>
  <si>
    <t xml:space="preserve">Verify current offer with issuer</t>
  </si>
  <si>
    <t xml:space="preserve">AMEX Platinum</t>
  </si>
  <si>
    <t xml:space="preserve">Centurion Lounge, Priority Pass, hotel elite status</t>
  </si>
  <si>
    <t xml:space="preserve">$15 Uber Cash/mo ($20 Dec); $20 Digital Ent./mo; $100 Resy; $75 Lululemon; $200 Airline; $200 Hotel; Global Entry/TSA; $300 Entertainment</t>
  </si>
  <si>
    <t xml:space="preserve">1200-2000+</t>
  </si>
  <si>
    <t xml:space="preserve">AMEX Charles Schwab Platinum</t>
  </si>
  <si>
    <t xml:space="preserve">Cash out MR points into Schwab brokerage</t>
  </si>
  <si>
    <t xml:space="preserve">Same credit set as AMEX Platinum</t>
  </si>
  <si>
    <t xml:space="preserve">Hilton Honors Aspire</t>
  </si>
  <si>
    <t xml:space="preserve">Hilton Diamond status</t>
  </si>
  <si>
    <t xml:space="preserve">$50 Hilton Credit/qtr; Free Night Reward; $200 Resort Credit</t>
  </si>
  <si>
    <t xml:space="preserve">600-2000+</t>
  </si>
  <si>
    <t xml:space="preserve">Chase Sapphire Reserve</t>
  </si>
  <si>
    <t xml:space="preserve">Chase</t>
  </si>
  <si>
    <t xml:space="preserve">Priority Pass, strong travel protections</t>
  </si>
  <si>
    <t xml:space="preserve">$300 Travel Credit; Global Entry/TSA</t>
  </si>
  <si>
    <t xml:space="preserve">500-900</t>
  </si>
  <si>
    <t xml:space="preserve">Fee typically waived for eligible active duty (MLA)</t>
  </si>
  <si>
    <t xml:space="preserve">Chase Sapphire Preferred</t>
  </si>
  <si>
    <t xml:space="preserve">Strong travel points ecosystem</t>
  </si>
  <si>
    <t xml:space="preserve">$50 Hotel Credit</t>
  </si>
  <si>
    <t xml:space="preserve">150-300</t>
  </si>
  <si>
    <t xml:space="preserve">Hilton Honors Surpass</t>
  </si>
  <si>
    <t xml:space="preserve">Hilton Gold status</t>
  </si>
  <si>
    <t xml:space="preserve">Free Night after $15k spend</t>
  </si>
  <si>
    <t xml:space="preserve">200-500</t>
  </si>
  <si>
    <t xml:space="preserve">Marriott Bonvoy Brilliant</t>
  </si>
  <si>
    <t xml:space="preserve">Marriott Platinum status</t>
  </si>
  <si>
    <t xml:space="preserve">$25 Dining Credit/mo; Free Night Award (85k); Global Entry/TSA</t>
  </si>
  <si>
    <t xml:space="preserve">400-900</t>
  </si>
  <si>
    <t xml:space="preserve">Delta SkyMiles Reserve</t>
  </si>
  <si>
    <t xml:space="preserve">Delta Sky Club access</t>
  </si>
  <si>
    <t xml:space="preserve">Companion Certificate</t>
  </si>
  <si>
    <t xml:space="preserve">300-800</t>
  </si>
  <si>
    <t xml:space="preserve">United Club Infinite</t>
  </si>
  <si>
    <t xml:space="preserve">United Club lounge membership</t>
  </si>
  <si>
    <t xml:space="preserve">United Club Membership</t>
  </si>
  <si>
    <t xml:space="preserve">Chase Freedom Unlimited</t>
  </si>
  <si>
    <t xml:space="preserve">Pairs with Sapphire for transfers</t>
  </si>
  <si>
    <t xml:space="preserve">Cashback rewards</t>
  </si>
  <si>
    <t xml:space="preserve">150-400</t>
  </si>
  <si>
    <t xml:space="preserve">No annual fee</t>
  </si>
  <si>
    <t xml:space="preserve">Citi Double Cash</t>
  </si>
  <si>
    <t xml:space="preserve">Citi</t>
  </si>
  <si>
    <t xml:space="preserve">Simple flat-rate cashback</t>
  </si>
  <si>
    <t xml:space="preserve">2% cashback everywhere</t>
  </si>
  <si>
    <t xml:space="preserve">* Military Fee: typical fee for eligible active-duty under SCRA/MLA per issuer policy — eligibility varies; confirm with issuer.</t>
  </si>
  <si>
    <t xml:space="preserve">** Estimated value ranges assume you actually use the benefits; your value depends on your usage.</t>
  </si>
  <si>
    <t xml:space="preserve">Card Comparison</t>
  </si>
  <si>
    <t xml:space="preserve">Pick up to three cards — details pull from the database automatically.</t>
  </si>
  <si>
    <t xml:space="preserve">Card 1</t>
  </si>
  <si>
    <t xml:space="preserve">Card 2</t>
  </si>
  <si>
    <t xml:space="preserve">Card 3</t>
  </si>
  <si>
    <t xml:space="preserve">Pick card →</t>
  </si>
  <si>
    <t xml:space="preserve">Military Fee</t>
  </si>
  <si>
    <t xml:space="preserve">My Spending</t>
  </si>
  <si>
    <t xml:space="preserve">Monthly spending by category, and which of your cards earns best for each.</t>
  </si>
  <si>
    <t xml:space="preserve">Category</t>
  </si>
  <si>
    <t xml:space="preserve">Monthly Spend</t>
  </si>
  <si>
    <t xml:space="preserve">Best Card In My Wallet</t>
  </si>
  <si>
    <t xml:space="preserve">Why</t>
  </si>
  <si>
    <t xml:space="preserve">Groceries</t>
  </si>
  <si>
    <t xml:space="preserve">Dining</t>
  </si>
  <si>
    <t xml:space="preserve">Travel — flights</t>
  </si>
  <si>
    <t xml:space="preserve">Travel — hotels</t>
  </si>
  <si>
    <t xml:space="preserve">Gas</t>
  </si>
  <si>
    <t xml:space="preserve">Online shopping</t>
  </si>
  <si>
    <t xml:space="preserve">Everything else</t>
  </si>
  <si>
    <t xml:space="preserve">Total</t>
  </si>
  <si>
    <t xml:space="preserve">Welcome Bonus Tracker</t>
  </si>
  <si>
    <t xml:space="preserve">Never spend beyond your normal budget to hit a bonus — plan spending you were already going to do.</t>
  </si>
  <si>
    <t xml:space="preserve">Offer (from issuer)</t>
  </si>
  <si>
    <t xml:space="preserve">Required Spend</t>
  </si>
  <si>
    <t xml:space="preserve">Spend So Far</t>
  </si>
  <si>
    <t xml:space="preserve">Deadline</t>
  </si>
  <si>
    <t xml:space="preserve">Days Left</t>
  </si>
  <si>
    <t xml:space="preserve">Progress</t>
  </si>
  <si>
    <t xml:space="preserve">Suggested $/day</t>
  </si>
  <si>
    <t xml:space="preserve">(check current offer)</t>
  </si>
  <si>
    <t xml:space="preserve">Card Roadmap</t>
  </si>
  <si>
    <t xml:space="preserve">Your planned acquisition path — order, timing, and reasoning. Space applications out responsibly.</t>
  </si>
  <si>
    <t xml:space="preserve">Step</t>
  </si>
  <si>
    <t xml:space="preserve">Why this card, in this order</t>
  </si>
  <si>
    <t xml:space="preserve">Target Apply Date</t>
  </si>
  <si>
    <t xml:space="preserve">Offer Spend Req.</t>
  </si>
  <si>
    <t xml:space="preserve">Window (days)</t>
  </si>
  <si>
    <t xml:space="preserve">Status</t>
  </si>
  <si>
    <t xml:space="preserve">Annual Fee Review</t>
  </si>
  <si>
    <t xml:space="preserve">Fee vs. value you actually used. KEEP/REVIEW is a signal, not a decision — your personal value of each benefit is what matters. Military: before separating, consider downgrading instead of canceling.</t>
  </si>
  <si>
    <t xml:space="preserve">Annual Fee (yours)</t>
  </si>
  <si>
    <t xml:space="preserve">Benefits Value Used</t>
  </si>
  <si>
    <t xml:space="preserve">Net Value</t>
  </si>
  <si>
    <t xml:space="preserve">Signal</t>
  </si>
  <si>
    <t xml:space="preserve">Dashboard</t>
  </si>
  <si>
    <t xml:space="preserve">Your credit-card strategy at a glance — everything below updates from the other tabs.</t>
  </si>
  <si>
    <t xml:space="preserve">Cards tracked</t>
  </si>
  <si>
    <t xml:space="preserve">Total annual fees</t>
  </si>
  <si>
    <t xml:space="preserve">Tracked benefit value</t>
  </si>
  <si>
    <t xml:space="preserve">Benefits used</t>
  </si>
  <si>
    <t xml:space="preserve">Benefits remaining</t>
  </si>
  <si>
    <t xml:space="preserve">Active welcome offers</t>
  </si>
  <si>
    <t xml:space="preserve">Welcome spend remaining</t>
  </si>
  <si>
    <t xml:space="preserve">Monthly tracked spending</t>
  </si>
  <si>
    <t xml:space="preserve">Rewards only count when balances are paid in full. Educational tool — not financial advice.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</si>
</sst>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;&quot;($&quot;#,##0\);\-"/>
    <numFmt numFmtId="167" formatCode="General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2540"/>
      <name val="Arial"/>
      <family val="0"/>
      <charset val="1"/>
    </font>
    <font>
      <sz val="10"/>
      <color rgb="FF5C6A7D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8A6D2A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A2540"/>
        <bgColor rgb="FF003300"/>
      </patternFill>
    </fill>
    <fill>
      <patternFill patternType="solid">
        <fgColor rgb="FFF6F7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6EC"/>
      </left>
      <right style="thin">
        <color rgb="FFE2E6EC"/>
      </right>
      <top style="thin">
        <color rgb="FFE2E6EC"/>
      </top>
      <bottom style="thin">
        <color rgb="FFE2E6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F2CC"/>
        </patternFill>
      </fill>
    </dxf>
    <dxf>
      <fill>
        <patternFill>
          <bgColor rgb="FFDCF3E3"/>
        </patternFill>
      </fill>
    </dxf>
    <dxf>
      <fill>
        <patternFill>
          <bgColor rgb="FFFB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A"/>
      <rgbColor rgb="FF800080"/>
      <rgbColor rgb="FF008080"/>
      <rgbColor rgb="FFC0C0C0"/>
      <rgbColor rgb="FF808080"/>
      <rgbColor rgb="FF9999FF"/>
      <rgbColor rgb="FF993366"/>
      <rgbColor rgb="FFFFF2CC"/>
      <rgbColor rgb="FFE2E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7F9"/>
      <rgbColor rgb="FFDCF3E3"/>
      <rgbColor rgb="FFFFFF99"/>
      <rgbColor rgb="FF99CCFF"/>
      <rgbColor rgb="FFFF99CC"/>
      <rgbColor rgb="FFCC99FF"/>
      <rgbColor rgb="FFFBE0E0"/>
      <rgbColor rgb="FF3366FF"/>
      <rgbColor rgb="FF33CCCC"/>
      <rgbColor rgb="FF99CC00"/>
      <rgbColor rgb="FFFFCC00"/>
      <rgbColor rgb="FFFF9900"/>
      <rgbColor rgb="FFFF6600"/>
      <rgbColor rgb="FF5C6A7D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/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5" t="s">
        <v>19</v>
      </c>
      <c r="B14" s="4"/>
    </row>
    <row r="15" customFormat="false" ht="15" hidden="false" customHeight="false" outlineLevel="0" collapsed="false">
      <c r="A15" s="6" t="s">
        <v>20</v>
      </c>
      <c r="B15" s="4" t="s">
        <v>21</v>
      </c>
    </row>
    <row r="16" customFormat="false" ht="15" hidden="false" customHeight="false" outlineLevel="0" collapsed="false">
      <c r="A16" s="3" t="s">
        <v>22</v>
      </c>
      <c r="B16" s="4" t="s">
        <v>23</v>
      </c>
    </row>
    <row r="17" customFormat="false" ht="15" hidden="false" customHeight="false" outlineLevel="0" collapsed="false">
      <c r="A17" s="7" t="s">
        <v>24</v>
      </c>
      <c r="B17" s="4" t="s">
        <v>25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5" t="s">
        <v>26</v>
      </c>
      <c r="B19" s="4"/>
    </row>
    <row r="20" customFormat="false" ht="26.85" hidden="false" customHeight="false" outlineLevel="0" collapsed="false">
      <c r="A20" s="3" t="s">
        <v>27</v>
      </c>
      <c r="B20" s="4" t="s">
        <v>28</v>
      </c>
    </row>
    <row r="21" customFormat="false" ht="26.85" hidden="false" customHeight="false" outlineLevel="0" collapsed="false">
      <c r="A21" s="3" t="s">
        <v>29</v>
      </c>
      <c r="B21" s="4" t="s">
        <v>30</v>
      </c>
    </row>
    <row r="22" customFormat="false" ht="26.85" hidden="false" customHeight="false" outlineLevel="0" collapsed="false">
      <c r="A22" s="3" t="s">
        <v>31</v>
      </c>
      <c r="B22" s="4" t="s">
        <v>32</v>
      </c>
    </row>
    <row r="23" customFormat="false" ht="15" hidden="false" customHeight="false" outlineLevel="0" collapsed="false">
      <c r="A23" s="3" t="s">
        <v>33</v>
      </c>
      <c r="B23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26.85" hidden="false" customHeight="false" outlineLevel="0" collapsed="false">
      <c r="A4" s="8" t="s">
        <v>37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</row>
    <row r="5" customFormat="false" ht="15" hidden="false" customHeight="false" outlineLevel="0" collapsed="false">
      <c r="A5" s="9" t="s">
        <v>45</v>
      </c>
      <c r="B5" s="10" t="s">
        <v>46</v>
      </c>
      <c r="C5" s="11" t="n">
        <v>45731</v>
      </c>
      <c r="D5" s="12" t="n">
        <f aca="false">IFERROR(INDEX('CARD DATABASE'!$C$5:$C$16,MATCH(A5,'CARD DATABASE'!$A$5:$A$16,0)),"")</f>
        <v>325</v>
      </c>
      <c r="E5" s="13" t="n">
        <v>15000</v>
      </c>
      <c r="F5" s="13" t="n">
        <v>0</v>
      </c>
      <c r="G5" s="11" t="n">
        <v>46096</v>
      </c>
      <c r="H5" s="10" t="s">
        <v>47</v>
      </c>
    </row>
    <row r="6" customFormat="false" ht="15" hidden="false" customHeight="false" outlineLevel="0" collapsed="false">
      <c r="A6" s="10"/>
      <c r="B6" s="10"/>
      <c r="C6" s="10"/>
      <c r="D6" s="12" t="str">
        <f aca="false">IFERROR(INDEX('CARD DATABASE'!$C$5:$C$16,MATCH(A6,'CARD DATABASE'!$A$5:$A$16,0)),"")</f>
        <v/>
      </c>
      <c r="E6" s="13"/>
      <c r="F6" s="13"/>
      <c r="G6" s="10"/>
      <c r="H6" s="10"/>
    </row>
    <row r="7" customFormat="false" ht="15" hidden="false" customHeight="false" outlineLevel="0" collapsed="false">
      <c r="A7" s="10"/>
      <c r="B7" s="10"/>
      <c r="C7" s="10"/>
      <c r="D7" s="12" t="str">
        <f aca="false">IFERROR(INDEX('CARD DATABASE'!$C$5:$C$16,MATCH(A7,'CARD DATABASE'!$A$5:$A$16,0)),"")</f>
        <v/>
      </c>
      <c r="E7" s="13"/>
      <c r="F7" s="13"/>
      <c r="G7" s="10"/>
      <c r="H7" s="10"/>
    </row>
    <row r="8" customFormat="false" ht="15" hidden="false" customHeight="false" outlineLevel="0" collapsed="false">
      <c r="A8" s="10"/>
      <c r="B8" s="10"/>
      <c r="C8" s="10"/>
      <c r="D8" s="12" t="str">
        <f aca="false">IFERROR(INDEX('CARD DATABASE'!$C$5:$C$16,MATCH(A8,'CARD DATABASE'!$A$5:$A$16,0)),"")</f>
        <v/>
      </c>
      <c r="E8" s="13"/>
      <c r="F8" s="13"/>
      <c r="G8" s="10"/>
      <c r="H8" s="10"/>
    </row>
    <row r="9" customFormat="false" ht="15" hidden="false" customHeight="false" outlineLevel="0" collapsed="false">
      <c r="A9" s="10"/>
      <c r="B9" s="10"/>
      <c r="C9" s="10"/>
      <c r="D9" s="12" t="str">
        <f aca="false">IFERROR(INDEX('CARD DATABASE'!$C$5:$C$16,MATCH(A9,'CARD DATABASE'!$A$5:$A$16,0)),"")</f>
        <v/>
      </c>
      <c r="E9" s="13"/>
      <c r="F9" s="13"/>
      <c r="G9" s="10"/>
      <c r="H9" s="10"/>
    </row>
    <row r="10" customFormat="false" ht="15" hidden="false" customHeight="false" outlineLevel="0" collapsed="false">
      <c r="A10" s="10"/>
      <c r="B10" s="10"/>
      <c r="C10" s="10"/>
      <c r="D10" s="12" t="str">
        <f aca="false">IFERROR(INDEX('CARD DATABASE'!$C$5:$C$16,MATCH(A10,'CARD DATABASE'!$A$5:$A$16,0)),"")</f>
        <v/>
      </c>
      <c r="E10" s="13"/>
      <c r="F10" s="13"/>
      <c r="G10" s="10"/>
      <c r="H10" s="10"/>
    </row>
    <row r="11" customFormat="false" ht="15" hidden="false" customHeight="false" outlineLevel="0" collapsed="false">
      <c r="A11" s="10"/>
      <c r="B11" s="10"/>
      <c r="C11" s="10"/>
      <c r="D11" s="12" t="str">
        <f aca="false">IFERROR(INDEX('CARD DATABASE'!$C$5:$C$16,MATCH(A11,'CARD DATABASE'!$A$5:$A$16,0)),"")</f>
        <v/>
      </c>
      <c r="E11" s="13"/>
      <c r="F11" s="13"/>
      <c r="G11" s="10"/>
      <c r="H11" s="10"/>
    </row>
    <row r="12" customFormat="false" ht="15" hidden="false" customHeight="false" outlineLevel="0" collapsed="false">
      <c r="A12" s="10"/>
      <c r="B12" s="10"/>
      <c r="C12" s="10"/>
      <c r="D12" s="12" t="str">
        <f aca="false">IFERROR(INDEX('CARD DATABASE'!$C$5:$C$16,MATCH(A12,'CARD DATABASE'!$A$5:$A$16,0)),"")</f>
        <v/>
      </c>
      <c r="E12" s="13"/>
      <c r="F12" s="13"/>
      <c r="G12" s="10"/>
      <c r="H12" s="10"/>
    </row>
    <row r="13" customFormat="false" ht="15" hidden="false" customHeight="false" outlineLevel="0" collapsed="false">
      <c r="A13" s="10"/>
      <c r="B13" s="10"/>
      <c r="C13" s="10"/>
      <c r="D13" s="12" t="str">
        <f aca="false">IFERROR(INDEX('CARD DATABASE'!$C$5:$C$16,MATCH(A13,'CARD DATABASE'!$A$5:$A$16,0)),"")</f>
        <v/>
      </c>
      <c r="E13" s="13"/>
      <c r="F13" s="13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2" t="str">
        <f aca="false">IFERROR(INDEX('CARD DATABASE'!$C$5:$C$16,MATCH(A14,'CARD DATABASE'!$A$5:$A$16,0)),"")</f>
        <v/>
      </c>
      <c r="E14" s="13"/>
      <c r="F14" s="13"/>
      <c r="G14" s="10"/>
      <c r="H14" s="10"/>
    </row>
    <row r="16" customFormat="false" ht="15" hidden="false" customHeight="false" outlineLevel="0" collapsed="false">
      <c r="C16" s="3" t="s">
        <v>48</v>
      </c>
      <c r="D16" s="14" t="n">
        <f aca="false">SUM(D5:D14)</f>
        <v>325</v>
      </c>
    </row>
  </sheetData>
  <dataValidations count="1">
    <dataValidation allowBlank="true" errorStyle="stop" operator="between" showDropDown="false" showErrorMessage="false" showInputMessage="false" sqref="A5:A14" type="list">
      <formula1>"AMEX Gold,AMEX Platinum,AMEX Charles Schwab Platinum,Hilton Honors Aspire,Chase Sapphire Reserve,Chase Sapphire Preferred,Hilton Honors Surpass,Marriott Bonvoy Brilliant,Delta SkyMiles Reserve,United Club Infinite,Chase Freedom Unlimited,Citi Double Cash"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36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26.85" hidden="false" customHeight="false" outlineLevel="0" collapsed="false">
      <c r="A4" s="8" t="s">
        <v>37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44</v>
      </c>
    </row>
    <row r="5" customFormat="false" ht="15" hidden="false" customHeight="false" outlineLevel="0" collapsed="false">
      <c r="A5" s="9" t="s">
        <v>45</v>
      </c>
      <c r="B5" s="10" t="s">
        <v>55</v>
      </c>
      <c r="C5" s="13" t="n">
        <v>120</v>
      </c>
      <c r="D5" s="13" t="n">
        <v>40</v>
      </c>
      <c r="E5" s="12" t="n">
        <f aca="false">IF(C5="","",MAX(0,C5-IF(D5="",0,D5)))</f>
        <v>80</v>
      </c>
      <c r="F5" s="10" t="s">
        <v>56</v>
      </c>
    </row>
    <row r="6" customFormat="false" ht="15" hidden="false" customHeight="false" outlineLevel="0" collapsed="false">
      <c r="A6" s="10"/>
      <c r="B6" s="10"/>
      <c r="C6" s="13"/>
      <c r="D6" s="13"/>
      <c r="E6" s="12" t="str">
        <f aca="false">IF(C6="","",MAX(0,C6-IF(D6="",0,D6)))</f>
        <v/>
      </c>
      <c r="F6" s="10"/>
    </row>
    <row r="7" customFormat="false" ht="15" hidden="false" customHeight="false" outlineLevel="0" collapsed="false">
      <c r="A7" s="10"/>
      <c r="B7" s="10"/>
      <c r="C7" s="13"/>
      <c r="D7" s="13"/>
      <c r="E7" s="12" t="str">
        <f aca="false">IF(C7="","",MAX(0,C7-IF(D7="",0,D7)))</f>
        <v/>
      </c>
      <c r="F7" s="10"/>
    </row>
    <row r="8" customFormat="false" ht="15" hidden="false" customHeight="false" outlineLevel="0" collapsed="false">
      <c r="A8" s="10"/>
      <c r="B8" s="10"/>
      <c r="C8" s="13"/>
      <c r="D8" s="13"/>
      <c r="E8" s="12" t="str">
        <f aca="false">IF(C8="","",MAX(0,C8-IF(D8="",0,D8)))</f>
        <v/>
      </c>
      <c r="F8" s="10"/>
    </row>
    <row r="9" customFormat="false" ht="15" hidden="false" customHeight="false" outlineLevel="0" collapsed="false">
      <c r="A9" s="10"/>
      <c r="B9" s="10"/>
      <c r="C9" s="13"/>
      <c r="D9" s="13"/>
      <c r="E9" s="12" t="str">
        <f aca="false">IF(C9="","",MAX(0,C9-IF(D9="",0,D9)))</f>
        <v/>
      </c>
      <c r="F9" s="10"/>
    </row>
    <row r="10" customFormat="false" ht="15" hidden="false" customHeight="false" outlineLevel="0" collapsed="false">
      <c r="A10" s="10"/>
      <c r="B10" s="10"/>
      <c r="C10" s="13"/>
      <c r="D10" s="13"/>
      <c r="E10" s="12" t="str">
        <f aca="false">IF(C10="","",MAX(0,C10-IF(D10="",0,D10)))</f>
        <v/>
      </c>
      <c r="F10" s="10"/>
    </row>
    <row r="11" customFormat="false" ht="15" hidden="false" customHeight="false" outlineLevel="0" collapsed="false">
      <c r="A11" s="10"/>
      <c r="B11" s="10"/>
      <c r="C11" s="13"/>
      <c r="D11" s="13"/>
      <c r="E11" s="12" t="str">
        <f aca="false">IF(C11="","",MAX(0,C11-IF(D11="",0,D11)))</f>
        <v/>
      </c>
      <c r="F11" s="10"/>
    </row>
    <row r="12" customFormat="false" ht="15" hidden="false" customHeight="false" outlineLevel="0" collapsed="false">
      <c r="A12" s="10"/>
      <c r="B12" s="10"/>
      <c r="C12" s="13"/>
      <c r="D12" s="13"/>
      <c r="E12" s="12" t="str">
        <f aca="false">IF(C12="","",MAX(0,C12-IF(D12="",0,D12)))</f>
        <v/>
      </c>
      <c r="F12" s="10"/>
    </row>
    <row r="13" customFormat="false" ht="15" hidden="false" customHeight="false" outlineLevel="0" collapsed="false">
      <c r="A13" s="10"/>
      <c r="B13" s="10"/>
      <c r="C13" s="13"/>
      <c r="D13" s="13"/>
      <c r="E13" s="12" t="str">
        <f aca="false">IF(C13="","",MAX(0,C13-IF(D13="",0,D13)))</f>
        <v/>
      </c>
      <c r="F13" s="10"/>
    </row>
    <row r="14" customFormat="false" ht="15" hidden="false" customHeight="false" outlineLevel="0" collapsed="false">
      <c r="A14" s="10"/>
      <c r="B14" s="10"/>
      <c r="C14" s="13"/>
      <c r="D14" s="13"/>
      <c r="E14" s="12" t="str">
        <f aca="false">IF(C14="","",MAX(0,C14-IF(D14="",0,D14)))</f>
        <v/>
      </c>
      <c r="F14" s="10"/>
    </row>
    <row r="15" customFormat="false" ht="15" hidden="false" customHeight="false" outlineLevel="0" collapsed="false">
      <c r="A15" s="10"/>
      <c r="B15" s="10"/>
      <c r="C15" s="13"/>
      <c r="D15" s="13"/>
      <c r="E15" s="12" t="str">
        <f aca="false">IF(C15="","",MAX(0,C15-IF(D15="",0,D15)))</f>
        <v/>
      </c>
      <c r="F15" s="10"/>
    </row>
    <row r="16" customFormat="false" ht="15" hidden="false" customHeight="false" outlineLevel="0" collapsed="false">
      <c r="A16" s="10"/>
      <c r="B16" s="10"/>
      <c r="C16" s="13"/>
      <c r="D16" s="13"/>
      <c r="E16" s="12" t="str">
        <f aca="false">IF(C16="","",MAX(0,C16-IF(D16="",0,D16)))</f>
        <v/>
      </c>
      <c r="F16" s="10"/>
    </row>
    <row r="17" customFormat="false" ht="15" hidden="false" customHeight="false" outlineLevel="0" collapsed="false">
      <c r="A17" s="10"/>
      <c r="B17" s="10"/>
      <c r="C17" s="13"/>
      <c r="D17" s="13"/>
      <c r="E17" s="12" t="str">
        <f aca="false">IF(C17="","",MAX(0,C17-IF(D17="",0,D17)))</f>
        <v/>
      </c>
      <c r="F17" s="10"/>
    </row>
    <row r="18" customFormat="false" ht="15" hidden="false" customHeight="false" outlineLevel="0" collapsed="false">
      <c r="A18" s="10"/>
      <c r="B18" s="10"/>
      <c r="C18" s="13"/>
      <c r="D18" s="13"/>
      <c r="E18" s="12" t="str">
        <f aca="false">IF(C18="","",MAX(0,C18-IF(D18="",0,D18)))</f>
        <v/>
      </c>
      <c r="F18" s="10"/>
    </row>
    <row r="19" customFormat="false" ht="15" hidden="false" customHeight="false" outlineLevel="0" collapsed="false">
      <c r="A19" s="10"/>
      <c r="B19" s="10"/>
      <c r="C19" s="13"/>
      <c r="D19" s="13"/>
      <c r="E19" s="12" t="str">
        <f aca="false">IF(C19="","",MAX(0,C19-IF(D19="",0,D19)))</f>
        <v/>
      </c>
      <c r="F19" s="10"/>
    </row>
    <row r="20" customFormat="false" ht="15" hidden="false" customHeight="false" outlineLevel="0" collapsed="false">
      <c r="A20" s="10"/>
      <c r="B20" s="10"/>
      <c r="C20" s="13"/>
      <c r="D20" s="13"/>
      <c r="E20" s="12" t="str">
        <f aca="false">IF(C20="","",MAX(0,C20-IF(D20="",0,D20)))</f>
        <v/>
      </c>
      <c r="F20" s="10"/>
    </row>
    <row r="21" customFormat="false" ht="15" hidden="false" customHeight="false" outlineLevel="0" collapsed="false">
      <c r="A21" s="10"/>
      <c r="B21" s="10"/>
      <c r="C21" s="13"/>
      <c r="D21" s="13"/>
      <c r="E21" s="12" t="str">
        <f aca="false">IF(C21="","",MAX(0,C21-IF(D21="",0,D21)))</f>
        <v/>
      </c>
      <c r="F21" s="10"/>
    </row>
    <row r="22" customFormat="false" ht="15" hidden="false" customHeight="false" outlineLevel="0" collapsed="false">
      <c r="A22" s="10"/>
      <c r="B22" s="10"/>
      <c r="C22" s="13"/>
      <c r="D22" s="13"/>
      <c r="E22" s="12" t="str">
        <f aca="false">IF(C22="","",MAX(0,C22-IF(D22="",0,D22)))</f>
        <v/>
      </c>
      <c r="F22" s="10"/>
    </row>
    <row r="23" customFormat="false" ht="15" hidden="false" customHeight="false" outlineLevel="0" collapsed="false">
      <c r="A23" s="10"/>
      <c r="B23" s="10"/>
      <c r="C23" s="13"/>
      <c r="D23" s="13"/>
      <c r="E23" s="12" t="str">
        <f aca="false">IF(C23="","",MAX(0,C23-IF(D23="",0,D23)))</f>
        <v/>
      </c>
      <c r="F23" s="10"/>
    </row>
    <row r="24" customFormat="false" ht="15" hidden="false" customHeight="false" outlineLevel="0" collapsed="false">
      <c r="A24" s="10"/>
      <c r="B24" s="10"/>
      <c r="C24" s="13"/>
      <c r="D24" s="13"/>
      <c r="E24" s="12" t="str">
        <f aca="false">IF(C24="","",MAX(0,C24-IF(D24="",0,D24)))</f>
        <v/>
      </c>
      <c r="F24" s="10"/>
    </row>
    <row r="25" customFormat="false" ht="15" hidden="false" customHeight="false" outlineLevel="0" collapsed="false">
      <c r="B25" s="3" t="s">
        <v>57</v>
      </c>
      <c r="C25" s="14" t="n">
        <f aca="false">SUM(C5:C24)</f>
        <v>120</v>
      </c>
      <c r="D25" s="14" t="n">
        <f aca="false">SUM(D5:D24)</f>
        <v>40</v>
      </c>
      <c r="E25" s="14" t="n">
        <f aca="false">SUM(E5:E24)</f>
        <v>80</v>
      </c>
    </row>
  </sheetData>
  <conditionalFormatting sqref="E5:E24">
    <cfRule type="cellIs" priority="2" operator="greaterThan" aboveAverage="0" equalAverage="0" bottom="0" percent="0" rank="0" text="" dxfId="0">
      <formula>100</formula>
    </cfRule>
  </conditionalFormatting>
  <dataValidations count="1">
    <dataValidation allowBlank="true" errorStyle="stop" operator="between" showDropDown="false" showErrorMessage="false" showInputMessage="false" sqref="A5:A24" type="list">
      <formula1>"AMEX Gold,AMEX Platinum,AMEX Charles Schwab Platinum,Hilton Honors Aspire,Chase Sapphire Reserve,Chase Sapphire Preferred,Hilton Honors Surpass,Marriott Bonvoy Brilliant,Delta SkyMiles Reserve,United Club Infinite,Chase Freedom Unlimited,Citi Double Cash"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60"/>
    <col collapsed="false" customWidth="true" hidden="false" outlineLevel="0" max="7" min="7" style="0" width="20"/>
    <col collapsed="false" customWidth="true" hidden="false" outlineLevel="0" max="8" min="8" style="0" width="52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19.7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26.85" hidden="false" customHeight="false" outlineLevel="0" collapsed="false">
      <c r="A4" s="8" t="s">
        <v>37</v>
      </c>
      <c r="B4" s="8" t="s">
        <v>38</v>
      </c>
      <c r="C4" s="8" t="s">
        <v>40</v>
      </c>
      <c r="D4" s="8" t="s">
        <v>60</v>
      </c>
      <c r="E4" s="8" t="s">
        <v>61</v>
      </c>
      <c r="F4" s="8" t="s">
        <v>62</v>
      </c>
      <c r="G4" s="8" t="s">
        <v>63</v>
      </c>
      <c r="H4" s="8" t="s">
        <v>64</v>
      </c>
      <c r="I4" s="8" t="s">
        <v>65</v>
      </c>
      <c r="J4" s="8" t="s">
        <v>66</v>
      </c>
    </row>
    <row r="5" customFormat="false" ht="26.85" hidden="false" customHeight="false" outlineLevel="0" collapsed="false">
      <c r="A5" s="15" t="s">
        <v>45</v>
      </c>
      <c r="B5" s="15" t="s">
        <v>46</v>
      </c>
      <c r="C5" s="16" t="n">
        <v>325</v>
      </c>
      <c r="D5" s="16" t="n">
        <v>0</v>
      </c>
      <c r="E5" s="15" t="s">
        <v>67</v>
      </c>
      <c r="F5" s="15" t="s">
        <v>68</v>
      </c>
      <c r="G5" s="15" t="s">
        <v>69</v>
      </c>
      <c r="H5" s="15" t="s">
        <v>70</v>
      </c>
      <c r="I5" s="15" t="s">
        <v>71</v>
      </c>
      <c r="J5" s="15" t="s">
        <v>72</v>
      </c>
    </row>
    <row r="6" customFormat="false" ht="39.55" hidden="false" customHeight="false" outlineLevel="0" collapsed="false">
      <c r="A6" s="17" t="s">
        <v>73</v>
      </c>
      <c r="B6" s="17" t="s">
        <v>46</v>
      </c>
      <c r="C6" s="18" t="n">
        <v>895</v>
      </c>
      <c r="D6" s="18" t="n">
        <v>0</v>
      </c>
      <c r="E6" s="17" t="s">
        <v>74</v>
      </c>
      <c r="F6" s="17" t="s">
        <v>75</v>
      </c>
      <c r="G6" s="17" t="s">
        <v>76</v>
      </c>
      <c r="H6" s="17" t="s">
        <v>70</v>
      </c>
      <c r="I6" s="17" t="s">
        <v>71</v>
      </c>
      <c r="J6" s="17" t="s">
        <v>72</v>
      </c>
    </row>
    <row r="7" customFormat="false" ht="26.85" hidden="false" customHeight="false" outlineLevel="0" collapsed="false">
      <c r="A7" s="15" t="s">
        <v>77</v>
      </c>
      <c r="B7" s="15" t="s">
        <v>46</v>
      </c>
      <c r="C7" s="16" t="n">
        <v>895</v>
      </c>
      <c r="D7" s="16" t="n">
        <v>0</v>
      </c>
      <c r="E7" s="15" t="s">
        <v>78</v>
      </c>
      <c r="F7" s="15" t="s">
        <v>79</v>
      </c>
      <c r="G7" s="15" t="s">
        <v>76</v>
      </c>
      <c r="H7" s="15" t="s">
        <v>70</v>
      </c>
      <c r="I7" s="15" t="s">
        <v>71</v>
      </c>
      <c r="J7" s="15" t="s">
        <v>72</v>
      </c>
    </row>
    <row r="8" customFormat="false" ht="26.85" hidden="false" customHeight="false" outlineLevel="0" collapsed="false">
      <c r="A8" s="17" t="s">
        <v>80</v>
      </c>
      <c r="B8" s="17" t="s">
        <v>46</v>
      </c>
      <c r="C8" s="18" t="n">
        <v>550</v>
      </c>
      <c r="D8" s="18" t="n">
        <v>0</v>
      </c>
      <c r="E8" s="17" t="s">
        <v>81</v>
      </c>
      <c r="F8" s="17" t="s">
        <v>82</v>
      </c>
      <c r="G8" s="17" t="s">
        <v>83</v>
      </c>
      <c r="H8" s="17" t="s">
        <v>70</v>
      </c>
      <c r="I8" s="17" t="s">
        <v>71</v>
      </c>
      <c r="J8" s="17" t="s">
        <v>72</v>
      </c>
    </row>
    <row r="9" customFormat="false" ht="26.85" hidden="false" customHeight="false" outlineLevel="0" collapsed="false">
      <c r="A9" s="15" t="s">
        <v>84</v>
      </c>
      <c r="B9" s="15" t="s">
        <v>85</v>
      </c>
      <c r="C9" s="16" t="n">
        <v>795</v>
      </c>
      <c r="D9" s="16" t="n">
        <v>0</v>
      </c>
      <c r="E9" s="15" t="s">
        <v>86</v>
      </c>
      <c r="F9" s="15" t="s">
        <v>87</v>
      </c>
      <c r="G9" s="15" t="s">
        <v>88</v>
      </c>
      <c r="H9" s="15" t="s">
        <v>89</v>
      </c>
      <c r="I9" s="15" t="s">
        <v>71</v>
      </c>
      <c r="J9" s="15" t="s">
        <v>72</v>
      </c>
    </row>
    <row r="10" customFormat="false" ht="26.85" hidden="false" customHeight="false" outlineLevel="0" collapsed="false">
      <c r="A10" s="17" t="s">
        <v>90</v>
      </c>
      <c r="B10" s="17" t="s">
        <v>85</v>
      </c>
      <c r="C10" s="18" t="n">
        <v>95</v>
      </c>
      <c r="D10" s="18" t="n">
        <v>0</v>
      </c>
      <c r="E10" s="17" t="s">
        <v>91</v>
      </c>
      <c r="F10" s="17" t="s">
        <v>92</v>
      </c>
      <c r="G10" s="17" t="s">
        <v>93</v>
      </c>
      <c r="H10" s="17" t="s">
        <v>89</v>
      </c>
      <c r="I10" s="17" t="s">
        <v>71</v>
      </c>
      <c r="J10" s="17" t="s">
        <v>72</v>
      </c>
    </row>
    <row r="11" customFormat="false" ht="26.85" hidden="false" customHeight="false" outlineLevel="0" collapsed="false">
      <c r="A11" s="15" t="s">
        <v>94</v>
      </c>
      <c r="B11" s="15" t="s">
        <v>46</v>
      </c>
      <c r="C11" s="16" t="n">
        <v>150</v>
      </c>
      <c r="D11" s="16" t="n">
        <v>0</v>
      </c>
      <c r="E11" s="15" t="s">
        <v>95</v>
      </c>
      <c r="F11" s="15" t="s">
        <v>96</v>
      </c>
      <c r="G11" s="15" t="s">
        <v>97</v>
      </c>
      <c r="H11" s="15" t="s">
        <v>70</v>
      </c>
      <c r="I11" s="15" t="s">
        <v>71</v>
      </c>
      <c r="J11" s="15" t="s">
        <v>72</v>
      </c>
    </row>
    <row r="12" customFormat="false" ht="26.85" hidden="false" customHeight="false" outlineLevel="0" collapsed="false">
      <c r="A12" s="17" t="s">
        <v>98</v>
      </c>
      <c r="B12" s="17" t="s">
        <v>46</v>
      </c>
      <c r="C12" s="18" t="n">
        <v>650</v>
      </c>
      <c r="D12" s="18" t="n">
        <v>0</v>
      </c>
      <c r="E12" s="17" t="s">
        <v>99</v>
      </c>
      <c r="F12" s="17" t="s">
        <v>100</v>
      </c>
      <c r="G12" s="17" t="s">
        <v>101</v>
      </c>
      <c r="H12" s="17" t="s">
        <v>70</v>
      </c>
      <c r="I12" s="17" t="s">
        <v>71</v>
      </c>
      <c r="J12" s="17" t="s">
        <v>72</v>
      </c>
    </row>
    <row r="13" customFormat="false" ht="26.85" hidden="false" customHeight="false" outlineLevel="0" collapsed="false">
      <c r="A13" s="15" t="s">
        <v>102</v>
      </c>
      <c r="B13" s="15" t="s">
        <v>46</v>
      </c>
      <c r="C13" s="16" t="n">
        <v>650</v>
      </c>
      <c r="D13" s="16" t="n">
        <v>0</v>
      </c>
      <c r="E13" s="15" t="s">
        <v>103</v>
      </c>
      <c r="F13" s="15" t="s">
        <v>104</v>
      </c>
      <c r="G13" s="15" t="s">
        <v>105</v>
      </c>
      <c r="H13" s="15" t="s">
        <v>70</v>
      </c>
      <c r="I13" s="15" t="s">
        <v>71</v>
      </c>
      <c r="J13" s="15" t="s">
        <v>72</v>
      </c>
    </row>
    <row r="14" customFormat="false" ht="26.85" hidden="false" customHeight="false" outlineLevel="0" collapsed="false">
      <c r="A14" s="17" t="s">
        <v>106</v>
      </c>
      <c r="B14" s="17" t="s">
        <v>85</v>
      </c>
      <c r="C14" s="18" t="n">
        <v>695</v>
      </c>
      <c r="D14" s="18" t="n">
        <v>0</v>
      </c>
      <c r="E14" s="17" t="s">
        <v>107</v>
      </c>
      <c r="F14" s="17" t="s">
        <v>108</v>
      </c>
      <c r="G14" s="17" t="s">
        <v>101</v>
      </c>
      <c r="H14" s="17" t="s">
        <v>89</v>
      </c>
      <c r="I14" s="17" t="s">
        <v>71</v>
      </c>
      <c r="J14" s="17" t="s">
        <v>72</v>
      </c>
    </row>
    <row r="15" customFormat="false" ht="26.85" hidden="false" customHeight="false" outlineLevel="0" collapsed="false">
      <c r="A15" s="15" t="s">
        <v>109</v>
      </c>
      <c r="B15" s="15" t="s">
        <v>85</v>
      </c>
      <c r="C15" s="16" t="n">
        <v>0</v>
      </c>
      <c r="D15" s="16" t="n">
        <v>0</v>
      </c>
      <c r="E15" s="15" t="s">
        <v>110</v>
      </c>
      <c r="F15" s="15" t="s">
        <v>111</v>
      </c>
      <c r="G15" s="15" t="s">
        <v>112</v>
      </c>
      <c r="H15" s="15" t="s">
        <v>113</v>
      </c>
      <c r="I15" s="15" t="s">
        <v>71</v>
      </c>
      <c r="J15" s="15" t="s">
        <v>72</v>
      </c>
    </row>
    <row r="16" customFormat="false" ht="26.85" hidden="false" customHeight="false" outlineLevel="0" collapsed="false">
      <c r="A16" s="17" t="s">
        <v>114</v>
      </c>
      <c r="B16" s="17" t="s">
        <v>115</v>
      </c>
      <c r="C16" s="18" t="n">
        <v>0</v>
      </c>
      <c r="D16" s="18" t="n">
        <v>0</v>
      </c>
      <c r="E16" s="17" t="s">
        <v>116</v>
      </c>
      <c r="F16" s="17" t="s">
        <v>117</v>
      </c>
      <c r="G16" s="17" t="s">
        <v>112</v>
      </c>
      <c r="H16" s="17" t="s">
        <v>113</v>
      </c>
      <c r="I16" s="17" t="s">
        <v>71</v>
      </c>
      <c r="J16" s="17" t="s">
        <v>72</v>
      </c>
    </row>
    <row r="18" customFormat="false" ht="15" hidden="false" customHeight="false" outlineLevel="0" collapsed="false">
      <c r="A18" s="2" t="s">
        <v>118</v>
      </c>
    </row>
    <row r="19" customFormat="false" ht="15" hidden="false" customHeight="false" outlineLevel="0" collapsed="false">
      <c r="A19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4"/>
  </cols>
  <sheetData>
    <row r="1" customFormat="false" ht="19.7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8"/>
      <c r="B4" s="8" t="s">
        <v>122</v>
      </c>
      <c r="C4" s="8" t="s">
        <v>123</v>
      </c>
      <c r="D4" s="8" t="s">
        <v>124</v>
      </c>
    </row>
    <row r="5" customFormat="false" ht="15" hidden="false" customHeight="false" outlineLevel="0" collapsed="false">
      <c r="A5" s="3" t="s">
        <v>125</v>
      </c>
      <c r="B5" s="19" t="s">
        <v>45</v>
      </c>
      <c r="C5" s="19" t="s">
        <v>90</v>
      </c>
      <c r="D5" s="19"/>
    </row>
    <row r="6" customFormat="false" ht="15" hidden="false" customHeight="false" outlineLevel="0" collapsed="false">
      <c r="A6" s="3" t="s">
        <v>38</v>
      </c>
      <c r="B6" s="17" t="str">
        <f aca="false">IF(B$5="","",IFERROR(INDEX('CARD DATABASE'!$B$5:$B$16,MATCH(B$5,'CARD DATABASE'!$A$5:$A$16,0)),""))</f>
        <v>American Express</v>
      </c>
      <c r="C6" s="17" t="str">
        <f aca="false">IF(C$5="","",IFERROR(INDEX('CARD DATABASE'!$B$5:$B$16,MATCH(C$5,'CARD DATABASE'!$A$5:$A$16,0)),""))</f>
        <v>Chase</v>
      </c>
      <c r="D6" s="17" t="str">
        <f aca="false">IF(D$5="","",IFERROR(INDEX('CARD DATABASE'!$B$5:$B$16,MATCH(D$5,'CARD DATABASE'!$A$5:$A$16,0)),""))</f>
        <v/>
      </c>
    </row>
    <row r="7" customFormat="false" ht="15" hidden="false" customHeight="false" outlineLevel="0" collapsed="false">
      <c r="A7" s="3" t="s">
        <v>40</v>
      </c>
      <c r="B7" s="18" t="n">
        <f aca="false">IF(B$5="","",IFERROR(INDEX('CARD DATABASE'!$C$5:$C$16,MATCH(B$5,'CARD DATABASE'!$A$5:$A$16,0)),""))</f>
        <v>325</v>
      </c>
      <c r="C7" s="18" t="n">
        <f aca="false">IF(C$5="","",IFERROR(INDEX('CARD DATABASE'!$C$5:$C$16,MATCH(C$5,'CARD DATABASE'!$A$5:$A$16,0)),""))</f>
        <v>95</v>
      </c>
      <c r="D7" s="18" t="str">
        <f aca="false">IF(D$5="","",IFERROR(INDEX('CARD DATABASE'!$C$5:$C$16,MATCH(D$5,'CARD DATABASE'!$A$5:$A$16,0)),""))</f>
        <v/>
      </c>
    </row>
    <row r="8" customFormat="false" ht="15" hidden="false" customHeight="false" outlineLevel="0" collapsed="false">
      <c r="A8" s="3" t="s">
        <v>126</v>
      </c>
      <c r="B8" s="18" t="n">
        <f aca="false">IF(B$5="","",IFERROR(INDEX('CARD DATABASE'!$D$5:$D$16,MATCH(B$5,'CARD DATABASE'!$A$5:$A$16,0)),""))</f>
        <v>0</v>
      </c>
      <c r="C8" s="18" t="n">
        <f aca="false">IF(C$5="","",IFERROR(INDEX('CARD DATABASE'!$D$5:$D$16,MATCH(C$5,'CARD DATABASE'!$A$5:$A$16,0)),""))</f>
        <v>0</v>
      </c>
      <c r="D8" s="18" t="str">
        <f aca="false">IF(D$5="","",IFERROR(INDEX('CARD DATABASE'!$D$5:$D$16,MATCH(D$5,'CARD DATABASE'!$A$5:$A$16,0)),""))</f>
        <v/>
      </c>
    </row>
    <row r="9" customFormat="false" ht="15" hidden="false" customHeight="false" outlineLevel="0" collapsed="false">
      <c r="A9" s="3" t="s">
        <v>61</v>
      </c>
      <c r="B9" s="17" t="str">
        <f aca="false">IF(B$5="","",IFERROR(INDEX('CARD DATABASE'!$E$5:$E$16,MATCH(B$5,'CARD DATABASE'!$A$5:$A$16,0)),""))</f>
        <v>Strong dining &amp; grocery rewards</v>
      </c>
      <c r="C9" s="17" t="str">
        <f aca="false">IF(C$5="","",IFERROR(INDEX('CARD DATABASE'!$E$5:$E$16,MATCH(C$5,'CARD DATABASE'!$A$5:$A$16,0)),""))</f>
        <v>Strong travel points ecosystem</v>
      </c>
      <c r="D9" s="17" t="str">
        <f aca="false">IF(D$5="","",IFERROR(INDEX('CARD DATABASE'!$E$5:$E$16,MATCH(D$5,'CARD DATABASE'!$A$5:$A$16,0)),""))</f>
        <v/>
      </c>
    </row>
    <row r="10" customFormat="false" ht="60" hidden="false" customHeight="true" outlineLevel="0" collapsed="false">
      <c r="A10" s="3" t="s">
        <v>62</v>
      </c>
      <c r="B10" s="17" t="str">
        <f aca="false">IF(B$5="","",IFERROR(INDEX('CARD DATABASE'!$F$5:$F$16,MATCH(B$5,'CARD DATABASE'!$A$5:$A$16,0)),""))</f>
        <v>$10 Uber Cash/mo; $10 Dining Credit/mo; $7 Dunkin Credit/mo</v>
      </c>
      <c r="C10" s="17" t="str">
        <f aca="false">IF(C$5="","",IFERROR(INDEX('CARD DATABASE'!$F$5:$F$16,MATCH(C$5,'CARD DATABASE'!$A$5:$A$16,0)),""))</f>
        <v>$50 Hotel Credit</v>
      </c>
      <c r="D10" s="17" t="str">
        <f aca="false">IF(D$5="","",IFERROR(INDEX('CARD DATABASE'!$F$5:$F$16,MATCH(D$5,'CARD DATABASE'!$A$5:$A$16,0)),""))</f>
        <v/>
      </c>
    </row>
    <row r="11" customFormat="false" ht="15" hidden="false" customHeight="false" outlineLevel="0" collapsed="false">
      <c r="A11" s="3" t="s">
        <v>52</v>
      </c>
      <c r="B11" s="17" t="str">
        <f aca="false">IF(B$5="","",IFERROR(INDEX('CARD DATABASE'!$G$5:$G$16,MATCH(B$5,'CARD DATABASE'!$A$5:$A$16,0)),""))</f>
        <v>240-300</v>
      </c>
      <c r="C11" s="17" t="str">
        <f aca="false">IF(C$5="","",IFERROR(INDEX('CARD DATABASE'!$G$5:$G$16,MATCH(C$5,'CARD DATABASE'!$A$5:$A$16,0)),""))</f>
        <v>150-300</v>
      </c>
      <c r="D11" s="17" t="str">
        <f aca="false">IF(D$5="","",IFERROR(INDEX('CARD DATABASE'!$G$5:$G$16,MATCH(D$5,'CARD DATABASE'!$A$5:$A$16,0)),""))</f>
        <v/>
      </c>
    </row>
    <row r="12" customFormat="false" ht="26.85" hidden="false" customHeight="false" outlineLevel="0" collapsed="false">
      <c r="A12" s="3" t="s">
        <v>64</v>
      </c>
      <c r="B12" s="17" t="str">
        <f aca="false">IF(B$5="","",IFERROR(INDEX('CARD DATABASE'!$H$5:$H$16,MATCH(B$5,'CARD DATABASE'!$A$5:$A$16,0)),""))</f>
        <v>Fee typically waived under SCRA/MLA for eligible active duty</v>
      </c>
      <c r="C12" s="17" t="str">
        <f aca="false">IF(C$5="","",IFERROR(INDEX('CARD DATABASE'!$H$5:$H$16,MATCH(C$5,'CARD DATABASE'!$A$5:$A$16,0)),""))</f>
        <v>Fee typically waived for eligible active duty (MLA)</v>
      </c>
      <c r="D12" s="17" t="str">
        <f aca="false">IF(D$5="","",IFERROR(INDEX('CARD DATABASE'!$H$5:$H$16,MATCH(D$5,'CARD DATABASE'!$A$5:$A$16,0)),""))</f>
        <v/>
      </c>
    </row>
  </sheetData>
  <dataValidations count="1">
    <dataValidation allowBlank="true" errorStyle="stop" operator="between" showDropDown="false" showErrorMessage="false" showInputMessage="false" sqref="B5:D5" type="list">
      <formula1>"AMEX Gold,AMEX Platinum,AMEX Charles Schwab Platinum,Hilton Honors Aspire,Chase Sapphire Reserve,Chase Sapphire Preferred,Hilton Honors Surpass,Marriott Bonvoy Brilliant,Delta SkyMiles Reserve,United Club Infinite,Chase Freedom Unlimited,Citi Double Cash"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26.85" hidden="false" customHeight="false" outlineLevel="0" collapsed="false">
      <c r="A4" s="8" t="s">
        <v>129</v>
      </c>
      <c r="B4" s="8" t="s">
        <v>130</v>
      </c>
      <c r="C4" s="8" t="s">
        <v>131</v>
      </c>
      <c r="D4" s="8" t="s">
        <v>132</v>
      </c>
    </row>
    <row r="5" customFormat="false" ht="15" hidden="false" customHeight="false" outlineLevel="0" collapsed="false">
      <c r="A5" s="20" t="s">
        <v>133</v>
      </c>
      <c r="B5" s="13"/>
      <c r="C5" s="10"/>
      <c r="D5" s="10"/>
    </row>
    <row r="6" customFormat="false" ht="15" hidden="false" customHeight="false" outlineLevel="0" collapsed="false">
      <c r="A6" s="20" t="s">
        <v>134</v>
      </c>
      <c r="B6" s="13"/>
      <c r="C6" s="10"/>
      <c r="D6" s="10"/>
    </row>
    <row r="7" customFormat="false" ht="15" hidden="false" customHeight="false" outlineLevel="0" collapsed="false">
      <c r="A7" s="20" t="s">
        <v>135</v>
      </c>
      <c r="B7" s="13"/>
      <c r="C7" s="10"/>
      <c r="D7" s="10"/>
    </row>
    <row r="8" customFormat="false" ht="15" hidden="false" customHeight="false" outlineLevel="0" collapsed="false">
      <c r="A8" s="20" t="s">
        <v>136</v>
      </c>
      <c r="B8" s="13"/>
      <c r="C8" s="10"/>
      <c r="D8" s="10"/>
    </row>
    <row r="9" customFormat="false" ht="15" hidden="false" customHeight="false" outlineLevel="0" collapsed="false">
      <c r="A9" s="20" t="s">
        <v>137</v>
      </c>
      <c r="B9" s="13"/>
      <c r="C9" s="10"/>
      <c r="D9" s="10"/>
    </row>
    <row r="10" customFormat="false" ht="15" hidden="false" customHeight="false" outlineLevel="0" collapsed="false">
      <c r="A10" s="20" t="s">
        <v>138</v>
      </c>
      <c r="B10" s="13"/>
      <c r="C10" s="10"/>
      <c r="D10" s="10"/>
    </row>
    <row r="11" customFormat="false" ht="15" hidden="false" customHeight="false" outlineLevel="0" collapsed="false">
      <c r="A11" s="20" t="s">
        <v>139</v>
      </c>
      <c r="B11" s="13"/>
      <c r="C11" s="10"/>
      <c r="D11" s="10"/>
    </row>
    <row r="12" customFormat="false" ht="15" hidden="false" customHeight="false" outlineLevel="0" collapsed="false">
      <c r="A12" s="3" t="s">
        <v>140</v>
      </c>
      <c r="B12" s="14" t="n">
        <f aca="false">SUM(B5:B11)</f>
        <v>0</v>
      </c>
    </row>
  </sheetData>
  <dataValidations count="1">
    <dataValidation allowBlank="true" errorStyle="stop" operator="between" showDropDown="false" showErrorMessage="false" showInputMessage="false" sqref="C5:C11" type="list">
      <formula1>"AMEX Gold,AMEX Platinum,AMEX Charles Schwab Platinum,Hilton Honors Aspire,Chase Sapphire Reserve,Chase Sapphire Preferred,Hilton Honors Surpass,Marriott Bonvoy Brilliant,Delta SkyMiles Reserve,United Club Infinite,Chase Freedom Unlimited,Citi Double Cash"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8" min="7" style="0" width="10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26.85" hidden="false" customHeight="false" outlineLevel="0" collapsed="false">
      <c r="A4" s="8" t="s">
        <v>37</v>
      </c>
      <c r="B4" s="8" t="s">
        <v>143</v>
      </c>
      <c r="C4" s="8" t="s">
        <v>144</v>
      </c>
      <c r="D4" s="8" t="s">
        <v>145</v>
      </c>
      <c r="E4" s="8" t="s">
        <v>54</v>
      </c>
      <c r="F4" s="8" t="s">
        <v>146</v>
      </c>
      <c r="G4" s="8" t="s">
        <v>147</v>
      </c>
      <c r="H4" s="8" t="s">
        <v>148</v>
      </c>
      <c r="I4" s="8" t="s">
        <v>149</v>
      </c>
    </row>
    <row r="5" customFormat="false" ht="15" hidden="false" customHeight="false" outlineLevel="0" collapsed="false">
      <c r="A5" s="9" t="s">
        <v>90</v>
      </c>
      <c r="B5" s="10" t="s">
        <v>150</v>
      </c>
      <c r="C5" s="13" t="n">
        <v>4000</v>
      </c>
      <c r="D5" s="13" t="n">
        <v>2600</v>
      </c>
      <c r="E5" s="12" t="n">
        <f aca="false">IF(C5="","",MAX(0,C5-IF(D5="",0,D5)))</f>
        <v>1400</v>
      </c>
      <c r="F5" s="11" t="n">
        <v>46286</v>
      </c>
      <c r="G5" s="21" t="n">
        <f aca="true">IF(F5="","",MAX(0,F5-TODAY()))</f>
        <v>42</v>
      </c>
      <c r="H5" s="22" t="n">
        <f aca="false">IF(OR(C5="",C5=0),"",MIN(1,IF(D5="",0,D5)/C5))</f>
        <v>0.65</v>
      </c>
      <c r="I5" s="12" t="n">
        <f aca="false">IF(OR(E5="",G5="",G5=0),"",E5/G5)</f>
        <v>33.3333333333333</v>
      </c>
    </row>
    <row r="6" customFormat="false" ht="15" hidden="false" customHeight="false" outlineLevel="0" collapsed="false">
      <c r="A6" s="10"/>
      <c r="B6" s="10"/>
      <c r="C6" s="13"/>
      <c r="D6" s="13"/>
      <c r="E6" s="12" t="str">
        <f aca="false">IF(C6="","",MAX(0,C6-IF(D6="",0,D6)))</f>
        <v/>
      </c>
      <c r="F6" s="10"/>
      <c r="G6" s="21" t="str">
        <f aca="true">IF(F6="","",MAX(0,F6-TODAY()))</f>
        <v/>
      </c>
      <c r="H6" s="22" t="str">
        <f aca="false">IF(OR(C6="",C6=0),"",MIN(1,IF(D6="",0,D6)/C6))</f>
        <v/>
      </c>
      <c r="I6" s="12" t="str">
        <f aca="false">IF(OR(E6="",G6="",G6=0),"",E6/G6)</f>
        <v/>
      </c>
    </row>
    <row r="7" customFormat="false" ht="15" hidden="false" customHeight="false" outlineLevel="0" collapsed="false">
      <c r="A7" s="10"/>
      <c r="B7" s="10"/>
      <c r="C7" s="13"/>
      <c r="D7" s="13"/>
      <c r="E7" s="12" t="str">
        <f aca="false">IF(C7="","",MAX(0,C7-IF(D7="",0,D7)))</f>
        <v/>
      </c>
      <c r="F7" s="10"/>
      <c r="G7" s="21" t="str">
        <f aca="true">IF(F7="","",MAX(0,F7-TODAY()))</f>
        <v/>
      </c>
      <c r="H7" s="22" t="str">
        <f aca="false">IF(OR(C7="",C7=0),"",MIN(1,IF(D7="",0,D7)/C7))</f>
        <v/>
      </c>
      <c r="I7" s="12" t="str">
        <f aca="false">IF(OR(E7="",G7="",G7=0),"",E7/G7)</f>
        <v/>
      </c>
    </row>
    <row r="8" customFormat="false" ht="15" hidden="false" customHeight="false" outlineLevel="0" collapsed="false">
      <c r="A8" s="10"/>
      <c r="B8" s="10"/>
      <c r="C8" s="13"/>
      <c r="D8" s="13"/>
      <c r="E8" s="12" t="str">
        <f aca="false">IF(C8="","",MAX(0,C8-IF(D8="",0,D8)))</f>
        <v/>
      </c>
      <c r="F8" s="10"/>
      <c r="G8" s="21" t="str">
        <f aca="true">IF(F8="","",MAX(0,F8-TODAY()))</f>
        <v/>
      </c>
      <c r="H8" s="22" t="str">
        <f aca="false">IF(OR(C8="",C8=0),"",MIN(1,IF(D8="",0,D8)/C8))</f>
        <v/>
      </c>
      <c r="I8" s="12" t="str">
        <f aca="false">IF(OR(E8="",G8="",G8=0),"",E8/G8)</f>
        <v/>
      </c>
    </row>
    <row r="9" customFormat="false" ht="15" hidden="false" customHeight="false" outlineLevel="0" collapsed="false">
      <c r="A9" s="10"/>
      <c r="B9" s="10"/>
      <c r="C9" s="13"/>
      <c r="D9" s="13"/>
      <c r="E9" s="12" t="str">
        <f aca="false">IF(C9="","",MAX(0,C9-IF(D9="",0,D9)))</f>
        <v/>
      </c>
      <c r="F9" s="10"/>
      <c r="G9" s="21" t="str">
        <f aca="true">IF(F9="","",MAX(0,F9-TODAY()))</f>
        <v/>
      </c>
      <c r="H9" s="22" t="str">
        <f aca="false">IF(OR(C9="",C9=0),"",MIN(1,IF(D9="",0,D9)/C9))</f>
        <v/>
      </c>
      <c r="I9" s="12" t="str">
        <f aca="false">IF(OR(E9="",G9="",G9=0),"",E9/G9)</f>
        <v/>
      </c>
    </row>
    <row r="10" customFormat="false" ht="15" hidden="false" customHeight="false" outlineLevel="0" collapsed="false">
      <c r="A10" s="10"/>
      <c r="B10" s="10"/>
      <c r="C10" s="13"/>
      <c r="D10" s="13"/>
      <c r="E10" s="12" t="str">
        <f aca="false">IF(C10="","",MAX(0,C10-IF(D10="",0,D10)))</f>
        <v/>
      </c>
      <c r="F10" s="10"/>
      <c r="G10" s="21" t="str">
        <f aca="true">IF(F10="","",MAX(0,F10-TODAY()))</f>
        <v/>
      </c>
      <c r="H10" s="22" t="str">
        <f aca="false">IF(OR(C10="",C10=0),"",MIN(1,IF(D10="",0,D10)/C10))</f>
        <v/>
      </c>
      <c r="I10" s="12" t="str">
        <f aca="false">IF(OR(E10="",G10="",G10=0),"",E10/G10)</f>
        <v/>
      </c>
    </row>
  </sheetData>
  <conditionalFormatting sqref="H5:H10">
    <cfRule type="dataBar" priority="2">
      <dataBar showValue="1" minLength="10" maxLength="90">
        <cfvo type="num" val="0"/>
        <cfvo type="num" val="1"/>
        <color rgb="FFC8A24A"/>
      </dataBar>
      <extLst>
        <ext xmlns:x14="http://schemas.microsoft.com/office/spreadsheetml/2009/9/main" uri="{B025F937-C7B1-47D3-B67F-A62EFF666E3E}">
          <x14:id>{63C2B7C9-4DA6-417B-8231-902B5391627D}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C2B7C9-4DA6-417B-8231-902B5391627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8A24A"/>
              <x14:axisColor rgb="FF000000"/>
            </x14:dataBar>
          </x14:cfRule>
          <xm:sqref>H5:H10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26.85" hidden="false" customHeight="false" outlineLevel="0" collapsed="false">
      <c r="A4" s="8" t="s">
        <v>153</v>
      </c>
      <c r="B4" s="8" t="s">
        <v>37</v>
      </c>
      <c r="C4" s="8" t="s">
        <v>154</v>
      </c>
      <c r="D4" s="8" t="s">
        <v>155</v>
      </c>
      <c r="E4" s="8" t="s">
        <v>156</v>
      </c>
      <c r="F4" s="8" t="s">
        <v>157</v>
      </c>
      <c r="G4" s="8" t="s">
        <v>158</v>
      </c>
    </row>
    <row r="5" customFormat="false" ht="15" hidden="false" customHeight="false" outlineLevel="0" collapsed="false">
      <c r="A5" s="20" t="n">
        <v>1</v>
      </c>
      <c r="B5" s="23"/>
      <c r="C5" s="23"/>
      <c r="D5" s="23"/>
      <c r="E5" s="24"/>
      <c r="F5" s="23"/>
      <c r="G5" s="23"/>
    </row>
    <row r="6" customFormat="false" ht="15" hidden="false" customHeight="false" outlineLevel="0" collapsed="false">
      <c r="A6" s="20" t="n">
        <v>2</v>
      </c>
      <c r="B6" s="23"/>
      <c r="C6" s="23"/>
      <c r="D6" s="23"/>
      <c r="E6" s="24"/>
      <c r="F6" s="23"/>
      <c r="G6" s="23"/>
    </row>
    <row r="7" customFormat="false" ht="15" hidden="false" customHeight="false" outlineLevel="0" collapsed="false">
      <c r="A7" s="20" t="n">
        <v>3</v>
      </c>
      <c r="B7" s="23"/>
      <c r="C7" s="23"/>
      <c r="D7" s="23"/>
      <c r="E7" s="24"/>
      <c r="F7" s="23"/>
      <c r="G7" s="23"/>
    </row>
    <row r="8" customFormat="false" ht="15" hidden="false" customHeight="false" outlineLevel="0" collapsed="false">
      <c r="A8" s="20" t="n">
        <v>4</v>
      </c>
      <c r="B8" s="23"/>
      <c r="C8" s="23"/>
      <c r="D8" s="23"/>
      <c r="E8" s="24"/>
      <c r="F8" s="23"/>
      <c r="G8" s="23"/>
    </row>
    <row r="9" customFormat="false" ht="15" hidden="false" customHeight="false" outlineLevel="0" collapsed="false">
      <c r="A9" s="20" t="n">
        <v>5</v>
      </c>
      <c r="B9" s="23"/>
      <c r="C9" s="23"/>
      <c r="D9" s="23"/>
      <c r="E9" s="24"/>
      <c r="F9" s="23"/>
      <c r="G9" s="23"/>
    </row>
    <row r="10" customFormat="false" ht="15" hidden="false" customHeight="false" outlineLevel="0" collapsed="false">
      <c r="A10" s="20" t="n">
        <v>6</v>
      </c>
      <c r="B10" s="23"/>
      <c r="C10" s="23"/>
      <c r="D10" s="23"/>
      <c r="E10" s="24"/>
      <c r="F10" s="23"/>
      <c r="G10" s="23"/>
    </row>
  </sheetData>
  <dataValidations count="2">
    <dataValidation allowBlank="true" errorStyle="stop" operator="between" showDropDown="false" showErrorMessage="false" showInputMessage="false" sqref="B5:B10" type="list">
      <formula1>"AMEX Gold,AMEX Platinum,AMEX Charles Schwab Platinum,Hilton Honors Aspire,Chase Sapphire Reserve,Chase Sapphire Preferred,Hilton Honors Surpass,Marriott Bonvoy Brilliant,Delta SkyMiles Reserve,United Club Infinite,Chase Freedom Unlimited,Citi Double Cash"</formula1>
      <formula2>0</formula2>
    </dataValidation>
    <dataValidation allowBlank="true" errorStyle="stop" operator="between" showDropDown="false" showErrorMessage="false" showInputMessage="false" sqref="G5:G10" type="list">
      <formula1>"Planned,Applied,Approved,Bonus earned,Skipped"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26.85" hidden="false" customHeight="false" outlineLevel="0" collapsed="false">
      <c r="A4" s="8" t="s">
        <v>37</v>
      </c>
      <c r="B4" s="8" t="s">
        <v>161</v>
      </c>
      <c r="C4" s="8" t="s">
        <v>162</v>
      </c>
      <c r="D4" s="8" t="s">
        <v>163</v>
      </c>
      <c r="E4" s="8" t="s">
        <v>164</v>
      </c>
    </row>
    <row r="5" customFormat="false" ht="15" hidden="false" customHeight="false" outlineLevel="0" collapsed="false">
      <c r="A5" s="10"/>
      <c r="B5" s="13"/>
      <c r="C5" s="13"/>
      <c r="D5" s="12" t="str">
        <f aca="false">IF(OR(B5="",C5=""),"",C5-B5)</f>
        <v/>
      </c>
      <c r="E5" s="25" t="str">
        <f aca="false">IF(D5="","",IF(D5&gt;=0,"KEEP","REVIEW"))</f>
        <v/>
      </c>
    </row>
    <row r="6" customFormat="false" ht="15" hidden="false" customHeight="false" outlineLevel="0" collapsed="false">
      <c r="A6" s="10"/>
      <c r="B6" s="13"/>
      <c r="C6" s="13"/>
      <c r="D6" s="12" t="str">
        <f aca="false">IF(OR(B6="",C6=""),"",C6-B6)</f>
        <v/>
      </c>
      <c r="E6" s="25" t="str">
        <f aca="false">IF(D6="","",IF(D6&gt;=0,"KEEP","REVIEW"))</f>
        <v/>
      </c>
    </row>
    <row r="7" customFormat="false" ht="15" hidden="false" customHeight="false" outlineLevel="0" collapsed="false">
      <c r="A7" s="10"/>
      <c r="B7" s="13"/>
      <c r="C7" s="13"/>
      <c r="D7" s="12" t="str">
        <f aca="false">IF(OR(B7="",C7=""),"",C7-B7)</f>
        <v/>
      </c>
      <c r="E7" s="25" t="str">
        <f aca="false">IF(D7="","",IF(D7&gt;=0,"KEEP","REVIEW"))</f>
        <v/>
      </c>
    </row>
    <row r="8" customFormat="false" ht="15" hidden="false" customHeight="false" outlineLevel="0" collapsed="false">
      <c r="A8" s="10"/>
      <c r="B8" s="13"/>
      <c r="C8" s="13"/>
      <c r="D8" s="12" t="str">
        <f aca="false">IF(OR(B8="",C8=""),"",C8-B8)</f>
        <v/>
      </c>
      <c r="E8" s="25" t="str">
        <f aca="false">IF(D8="","",IF(D8&gt;=0,"KEEP","REVIEW"))</f>
        <v/>
      </c>
    </row>
    <row r="9" customFormat="false" ht="15" hidden="false" customHeight="false" outlineLevel="0" collapsed="false">
      <c r="A9" s="10"/>
      <c r="B9" s="13"/>
      <c r="C9" s="13"/>
      <c r="D9" s="12" t="str">
        <f aca="false">IF(OR(B9="",C9=""),"",C9-B9)</f>
        <v/>
      </c>
      <c r="E9" s="25" t="str">
        <f aca="false">IF(D9="","",IF(D9&gt;=0,"KEEP","REVIEW"))</f>
        <v/>
      </c>
    </row>
    <row r="10" customFormat="false" ht="15" hidden="false" customHeight="false" outlineLevel="0" collapsed="false">
      <c r="A10" s="10"/>
      <c r="B10" s="13"/>
      <c r="C10" s="13"/>
      <c r="D10" s="12" t="str">
        <f aca="false">IF(OR(B10="",C10=""),"",C10-B10)</f>
        <v/>
      </c>
      <c r="E10" s="25" t="str">
        <f aca="false">IF(D10="","",IF(D10&gt;=0,"KEEP","REVIEW"))</f>
        <v/>
      </c>
    </row>
    <row r="11" customFormat="false" ht="15" hidden="false" customHeight="false" outlineLevel="0" collapsed="false">
      <c r="A11" s="10"/>
      <c r="B11" s="13"/>
      <c r="C11" s="13"/>
      <c r="D11" s="12" t="str">
        <f aca="false">IF(OR(B11="",C11=""),"",C11-B11)</f>
        <v/>
      </c>
      <c r="E11" s="25" t="str">
        <f aca="false">IF(D11="","",IF(D11&gt;=0,"KEEP","REVIEW"))</f>
        <v/>
      </c>
    </row>
    <row r="12" customFormat="false" ht="15" hidden="false" customHeight="false" outlineLevel="0" collapsed="false">
      <c r="A12" s="10"/>
      <c r="B12" s="13"/>
      <c r="C12" s="13"/>
      <c r="D12" s="12" t="str">
        <f aca="false">IF(OR(B12="",C12=""),"",C12-B12)</f>
        <v/>
      </c>
      <c r="E12" s="25" t="str">
        <f aca="false">IF(D12="","",IF(D12&gt;=0,"KEEP","REVIEW"))</f>
        <v/>
      </c>
    </row>
  </sheetData>
  <conditionalFormatting sqref="E5:E12">
    <cfRule type="cellIs" priority="2" operator="equal" aboveAverage="0" equalAverage="0" bottom="0" percent="0" rank="0" text="" dxfId="1">
      <formula>"KEEP"</formula>
    </cfRule>
    <cfRule type="cellIs" priority="3" operator="equal" aboveAverage="0" equalAverage="0" bottom="0" percent="0" rank="0" text="" dxfId="2">
      <formula>"REVIEW"</formula>
    </cfRule>
  </conditionalFormatting>
  <dataValidations count="1">
    <dataValidation allowBlank="true" errorStyle="stop" operator="between" showDropDown="false" showErrorMessage="false" showInputMessage="false" sqref="A5:A12" type="list">
      <formula1>"AMEX Gold,AMEX Platinum,AMEX Charles Schwab Platinum,Hilton Honors Aspire,Chase Sapphire Reserve,Chase Sapphire Preferred,Hilton Honors Surpass,Marriott Bonvoy Brilliant,Delta SkyMiles Reserve,United Club Infinite,Chase Freedom Unlimited,Citi Double Cash"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26" t="s">
        <v>167</v>
      </c>
      <c r="B4" s="21" t="n">
        <f aca="false">COUNTA('MY CARDS'!A5:A14)</f>
        <v>1</v>
      </c>
    </row>
    <row r="5" customFormat="false" ht="15" hidden="false" customHeight="false" outlineLevel="0" collapsed="false">
      <c r="A5" s="26" t="s">
        <v>168</v>
      </c>
      <c r="B5" s="12" t="n">
        <f aca="false">'MY CARDS'!D16</f>
        <v>325</v>
      </c>
    </row>
    <row r="6" customFormat="false" ht="15" hidden="false" customHeight="false" outlineLevel="0" collapsed="false">
      <c r="A6" s="26" t="s">
        <v>169</v>
      </c>
      <c r="B6" s="12" t="n">
        <f aca="false">'BENEFITS TRACKER'!C25</f>
        <v>120</v>
      </c>
    </row>
    <row r="7" customFormat="false" ht="15" hidden="false" customHeight="false" outlineLevel="0" collapsed="false">
      <c r="A7" s="26" t="s">
        <v>170</v>
      </c>
      <c r="B7" s="12" t="n">
        <f aca="false">'BENEFITS TRACKER'!D25</f>
        <v>40</v>
      </c>
    </row>
    <row r="8" customFormat="false" ht="15" hidden="false" customHeight="false" outlineLevel="0" collapsed="false">
      <c r="A8" s="26" t="s">
        <v>171</v>
      </c>
      <c r="B8" s="12" t="n">
        <f aca="false">'BENEFITS TRACKER'!E25</f>
        <v>80</v>
      </c>
    </row>
    <row r="9" customFormat="false" ht="15" hidden="false" customHeight="false" outlineLevel="0" collapsed="false">
      <c r="A9" s="26" t="s">
        <v>172</v>
      </c>
      <c r="B9" s="21" t="n">
        <f aca="false">COUNTA('WELCOME BONUSES'!A5:A10)</f>
        <v>1</v>
      </c>
    </row>
    <row r="10" customFormat="false" ht="15" hidden="false" customHeight="false" outlineLevel="0" collapsed="false">
      <c r="A10" s="26" t="s">
        <v>173</v>
      </c>
      <c r="B10" s="12" t="n">
        <f aca="false">SUM('WELCOME BONUSES'!E5:E10)</f>
        <v>1400</v>
      </c>
    </row>
    <row r="11" customFormat="false" ht="15" hidden="false" customHeight="false" outlineLevel="0" collapsed="false">
      <c r="A11" s="26" t="s">
        <v>174</v>
      </c>
      <c r="B11" s="12" t="n">
        <f aca="false">'MY SPENDING'!B12</f>
        <v>0</v>
      </c>
    </row>
    <row r="13" customFormat="false" ht="15" hidden="false" customHeight="false" outlineLevel="0" collapsed="false">
      <c r="A13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2026-08-10T19:57:49Z</dcterms:created>
  <dc:creator>openpyxl</dc:creator>
  <dc:description/>
  <dc:language>en-US</dc:language>
  <cp:lastModifiedBy/>
  <dcterms:modified xsi:type="dcterms:W3CDTF">2026-08-10T19:57:49Z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