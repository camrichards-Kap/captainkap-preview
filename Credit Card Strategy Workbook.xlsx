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TART HERE" sheetId="2" state="visible" r:id="rId4"/>
    <sheet name="1. SNAPSHOT" sheetId="3" state="visible" r:id="rId5"/>
    <sheet name="2. CREDIT PROFILE" sheetId="4" state="visible" r:id="rId6"/>
    <sheet name="3. CARD AUDIT" sheetId="5" state="visible" r:id="rId7"/>
    <sheet name="4. SPENDING" sheetId="6" state="visible" r:id="rId8"/>
    <sheet name="5. REWARDS STRATEGY" sheetId="7" state="visible" r:id="rId9"/>
    <sheet name="6. PORTFOLIO" sheetId="8" state="visible" r:id="rId10"/>
    <sheet name="7. BONUS TRACKER" sheetId="9" state="visible" r:id="rId11"/>
    <sheet name="8. APPLICATIONS" sheetId="10" state="visible" r:id="rId12"/>
    <sheet name="9. FEE ANALYSIS" sheetId="11" state="visible" r:id="rId13"/>
    <sheet name="10. WALLET STRATEGY" sheetId="12" state="visible" r:id="rId14"/>
    <sheet name="11. POINTS VALUE" sheetId="13" state="visible" r:id="rId15"/>
    <sheet name="12. TRAVEL" sheetId="14" state="visible" r:id="rId16"/>
    <sheet name="13. 12-MONTH PLAN" sheetId="15" state="visible" r:id="rId17"/>
    <sheet name="14. LONG-TERM" sheetId="16" state="visible" r:id="rId18"/>
    <sheet name="RULES &amp; SAFETY" sheetId="17" state="visible" r:id="rId19"/>
    <sheet name="CARD DATABASE" sheetId="18" state="visible" r:id="rId20"/>
    <sheet name="MY STRATEGY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<sst xmlns="http://schemas.openxmlformats.org/spreadsheetml/2006/main" count="835" uniqueCount="654">
  <si>
    <t xml:space="preserve">CAPTAIN KAP</t>
  </si>
  <si>
    <t xml:space="preserve">THE CREDIT CARD</t>
  </si>
  <si>
    <t xml:space="preserve">STRATEGY WORKBOOK</t>
  </si>
  <si>
    <t xml:space="preserve">Know what you have. Know what you’re missing. Know what to get next.</t>
  </si>
  <si>
    <t xml:space="preserve">A complete, guided system: audit your wallet, understand your credit, map your spending,</t>
  </si>
  <si>
    <t xml:space="preserve">pick your rewards ecosystem, build your portfolio, and plan the next 12 months — responsibly.</t>
  </si>
  <si>
    <t xml:space="preserve">Part of the $47 Credit Card Optimization System · captainkap.com</t>
  </si>
  <si>
    <t xml:space="preserve">Card data verified 2026-08 (The Points Guy 8/2/26 · Doctor of Credit 8/8/26)</t>
  </si>
  <si>
    <t xml:space="preserve">Educational planning tool — not financial advice. Offers, terms, and eligibility change without notice; always verify with the issuer.</t>
  </si>
  <si>
    <t xml:space="preserve">Rewards only have value when balances are paid in full. Never spend beyond your normal budget to earn rewards.</t>
  </si>
  <si>
    <t xml:space="preserve">CAPTAIN KAP · CREDIT CARD OPTIMIZATION SYSTEM</t>
  </si>
  <si>
    <t xml:space="preserve">Start Here — How To Use This Workbook</t>
  </si>
  <si>
    <t xml:space="preserve">Work the numbered sections in order the first time through, then return to any section as your situation changes. Everything is yours to edit.</t>
  </si>
  <si>
    <t xml:space="preserve">THE COLOR SYSTEM</t>
  </si>
  <si>
    <t xml:space="preserve">Blue text = YOUR inputs — type over these.</t>
  </si>
  <si>
    <t xml:space="preserve">Yellow fill = the key inputs each section depends on.</t>
  </si>
  <si>
    <t xml:space="preserve">Black text = live calculations. Don’t type over these — they update automatically.</t>
  </si>
  <si>
    <t xml:space="preserve">Every fill-in table includes one EXAMPLE row in the first data row — replace it with your own.</t>
  </si>
  <si>
    <t xml:space="preserve">QUICK START — 20 MINUTES</t>
  </si>
  <si>
    <t xml:space="preserve">1.  Fill in Section 1 (Snapshot) — your income, expenses, and savings. 5 minutes.</t>
  </si>
  <si>
    <t xml:space="preserve">2.  List every card you own in Section 3 (Card Audit). The math lights up as you type.</t>
  </si>
  <si>
    <t xml:space="preserve">3.  Enter your monthly spending in Section 4 — this reveals which categories matter for YOU.</t>
  </si>
  <si>
    <t xml:space="preserve">4.  Read Section 5 and take the 5-question strategy quiz.</t>
  </si>
  <si>
    <t xml:space="preserve">5.  Jump to MY STRATEGY (last tab) and rough in your first draft. Refine as you complete the rest.</t>
  </si>
  <si>
    <t xml:space="preserve">TABLE OF CONTENTS</t>
  </si>
  <si>
    <t xml:space="preserve">1. SNAPSHOT</t>
  </si>
  <si>
    <t xml:space="preserve">Personal financial snapshot — income, expenses, debt, savings, goals</t>
  </si>
  <si>
    <t xml:space="preserve">2. CREDIT PROFILE</t>
  </si>
  <si>
    <t xml:space="preserve">Understand your credit: utilization, age, inquiries, what to improve</t>
  </si>
  <si>
    <t xml:space="preserve">3. CARD AUDIT</t>
  </si>
  <si>
    <t xml:space="preserve">Every card you own — limits, balances, fees, keep / downgrade / cancel</t>
  </si>
  <si>
    <t xml:space="preserve">4. SPENDING</t>
  </si>
  <si>
    <t xml:space="preserve">Where your money actually goes, and which categories to optimize</t>
  </si>
  <si>
    <t xml:space="preserve">5. REWARDS STRATEGY</t>
  </si>
  <si>
    <t xml:space="preserve">Cash back vs. points vs. miles — find the ecosystem that fits YOU</t>
  </si>
  <si>
    <t xml:space="preserve">6. PORTFOLIO</t>
  </si>
  <si>
    <t xml:space="preserve">Design your card portfolio — roles, overlap check, net value</t>
  </si>
  <si>
    <t xml:space="preserve">7. BONUS TRACKER</t>
  </si>
  <si>
    <t xml:space="preserve">Plan sign-up bonuses responsibly — pace, deadlines, progress</t>
  </si>
  <si>
    <t xml:space="preserve">8. APPLICATIONS</t>
  </si>
  <si>
    <t xml:space="preserve">What to apply for next, when, and what to accomplish first</t>
  </si>
  <si>
    <t xml:space="preserve">9. FEE ANALYSIS</t>
  </si>
  <si>
    <t xml:space="preserve">Is each annual fee worth it? Net value and break-even, card by card</t>
  </si>
  <si>
    <t xml:space="preserve">10. WALLET STRATEGY</t>
  </si>
  <si>
    <t xml:space="preserve">Which card to pull out for every purchase category</t>
  </si>
  <si>
    <t xml:space="preserve">11. POINTS VALUE</t>
  </si>
  <si>
    <t xml:space="preserve">What points are worth — cents-per-point calculator and rules of thumb</t>
  </si>
  <si>
    <t xml:space="preserve">12. TRAVEL</t>
  </si>
  <si>
    <t xml:space="preserve">Airlines, hotels, destinations, and the points gap for upcoming trips</t>
  </si>
  <si>
    <t xml:space="preserve">13. 12-MONTH PLAN</t>
  </si>
  <si>
    <t xml:space="preserve">A month-by-month strategy — objectives, reviews, notes</t>
  </si>
  <si>
    <t xml:space="preserve">14. LONG-TERM</t>
  </si>
  <si>
    <t xml:space="preserve">1 / 2 / 3-year goals: credit, rewards, portfolio, travel, purchases</t>
  </si>
  <si>
    <t xml:space="preserve">RULES &amp; SAFETY</t>
  </si>
  <si>
    <t xml:space="preserve">The non-negotiables of responsible credit-card strategy</t>
  </si>
  <si>
    <t xml:space="preserve">CARD DATABASE</t>
  </si>
  <si>
    <t xml:space="preserve">30 cards — current vs. typical offers, verified 2026-08</t>
  </si>
  <si>
    <t xml:space="preserve">MY STRATEGY</t>
  </si>
  <si>
    <t xml:space="preserve">Your one-page consolidated strategy — the output of everything above</t>
  </si>
  <si>
    <t xml:space="preserve">Educational planning tool — not financial advice. Verify every offer, fee, and eligibility rule directly with the issuer.</t>
  </si>
  <si>
    <t xml:space="preserve">Section 1 · Personal Financial Snapshot</t>
  </si>
  <si>
    <t xml:space="preserve">Your strategy starts with reality. Fill in the blue cells — the calculations show your monthly surplus, emergency-fund coverage, and debt load. (Example values shown — replace with yours.)</t>
  </si>
  <si>
    <t xml:space="preserve">Item</t>
  </si>
  <si>
    <t xml:space="preserve">Monthly</t>
  </si>
  <si>
    <t xml:space="preserve">Annual</t>
  </si>
  <si>
    <t xml:space="preserve">Notes</t>
  </si>
  <si>
    <t xml:space="preserve">Gross income</t>
  </si>
  <si>
    <t xml:space="preserve">Before taxes and deductions</t>
  </si>
  <si>
    <t xml:space="preserve">Take-home income</t>
  </si>
  <si>
    <t xml:space="preserve">What actually hits your account</t>
  </si>
  <si>
    <t xml:space="preserve">Fixed expenses (rent, insurance, subscriptions…)</t>
  </si>
  <si>
    <t xml:space="preserve">Things that cost the same every month</t>
  </si>
  <si>
    <t xml:space="preserve">Variable expenses (food, gas, fun…)</t>
  </si>
  <si>
    <t xml:space="preserve">Estimate from the last 2–3 statements</t>
  </si>
  <si>
    <t xml:space="preserve">Monthly debt payments (loans, cards…)</t>
  </si>
  <si>
    <t xml:space="preserve">Minimums + planned extra payments</t>
  </si>
  <si>
    <t xml:space="preserve">Monthly surplus (take-home − expenses − debt)</t>
  </si>
  <si>
    <t xml:space="preserve">Negative? Fix this before any rewards strategy — rewards never beat interest.</t>
  </si>
  <si>
    <t xml:space="preserve">Balances &amp; profile</t>
  </si>
  <si>
    <t xml:space="preserve">Amount</t>
  </si>
  <si>
    <t xml:space="preserve">Total savings</t>
  </si>
  <si>
    <t xml:space="preserve">Checking + savings you could actually use</t>
  </si>
  <si>
    <t xml:space="preserve">Emergency fund (part of savings)</t>
  </si>
  <si>
    <t xml:space="preserve">Money you will NOT touch for rewards or travel</t>
  </si>
  <si>
    <t xml:space="preserve">Total non-mortgage debt</t>
  </si>
  <si>
    <t xml:space="preserve">Cards, auto, personal, student</t>
  </si>
  <si>
    <t xml:space="preserve">Credit score (approximate)</t>
  </si>
  <si>
    <t xml:space="preserve">From your bank or a free monitoring service</t>
  </si>
  <si>
    <t xml:space="preserve">Number of credit cards you have</t>
  </si>
  <si>
    <t xml:space="preserve">Count every open card</t>
  </si>
  <si>
    <t xml:space="preserve">Annual fees you currently pay (total)</t>
  </si>
  <si>
    <t xml:space="preserve">Section 9 computes this precisely</t>
  </si>
  <si>
    <t xml:space="preserve">Current points / miles balances (est. value $)</t>
  </si>
  <si>
    <t xml:space="preserve">Rough guess now; Section 11 sharpens it</t>
  </si>
  <si>
    <t xml:space="preserve">Emergency fund coverage (months of essentials)</t>
  </si>
  <si>
    <t xml:space="preserve">3–6 months is the widely-cited planning range. Below 3? Build this before chasing bonuses.</t>
  </si>
  <si>
    <t xml:space="preserve">Debt-to-income (monthly debt ÷ take-home)</t>
  </si>
  <si>
    <t xml:space="preserve">Lower is better; lenders look at this when you apply.</t>
  </si>
  <si>
    <t xml:space="preserve">MY FINANCIAL GOALS (write freely)</t>
  </si>
  <si>
    <t xml:space="preserve">This year I want to…</t>
  </si>
  <si>
    <t xml:space="preserve">In 3 years I want to…</t>
  </si>
  <si>
    <t xml:space="preserve">Rewards will help me…</t>
  </si>
  <si>
    <t xml:space="preserve">Section 2 · Credit Profile Assessment</t>
  </si>
  <si>
    <t xml:space="preserve">Card strategy is built ON good credit, never at its expense. Fill in what you know — free monitoring tools from your bank cover most of this.</t>
  </si>
  <si>
    <t xml:space="preserve">Factor</t>
  </si>
  <si>
    <t xml:space="preserve">Yours</t>
  </si>
  <si>
    <t xml:space="preserve">What it means &amp; how to improve it</t>
  </si>
  <si>
    <t xml:space="preserve">Credit score</t>
  </si>
  <si>
    <t xml:space="preserve">Payment history and utilization drive most of your score. 670+ is commonly cited as "good," 740+ "very good" — check your own lender’s tiers.</t>
  </si>
  <si>
    <t xml:space="preserve">Overall utilization (all balances ÷ all limits)</t>
  </si>
  <si>
    <t xml:space="preserve">Auto-calculated from Section 3. Keeping utilization under ~30% — ideally under 10% — is one of the most-cited score levers.</t>
  </si>
  <si>
    <t xml:space="preserve">Number of open accounts</t>
  </si>
  <si>
    <t xml:space="preserve">More accounts = more available credit and lower utilization, but only open cards you’d keep anyway.</t>
  </si>
  <si>
    <t xml:space="preserve">Average age of accounts (years)</t>
  </si>
  <si>
    <t xml:space="preserve">Older is better. This is why "cancel it" is rarely the first move — downgrading keeps the age.</t>
  </si>
  <si>
    <t xml:space="preserve">Oldest account (years)</t>
  </si>
  <si>
    <t xml:space="preserve">Protect this card. Even unused, it anchors your history — consider a no-fee downgrade instead of canceling.</t>
  </si>
  <si>
    <t xml:space="preserve">Hard inquiries — last 12 months</t>
  </si>
  <si>
    <t xml:space="preserve">Each application typically adds one. Several in a short window can look risky to issuers and trips rules like Chase 5/24.</t>
  </si>
  <si>
    <t xml:space="preserve">Cards opened — last 24 months</t>
  </si>
  <si>
    <t xml:space="preserve">Chase’s widely-reported 5/24 rule: 5+ new personal cards in 24 months usually means automatic denial at Chase.</t>
  </si>
  <si>
    <t xml:space="preserve">Late payments — last 24 months</t>
  </si>
  <si>
    <t xml:space="preserve">The single most damaging item. Autopay at least the minimum on every card, forever.</t>
  </si>
  <si>
    <t xml:space="preserve">Total credit limits</t>
  </si>
  <si>
    <t xml:space="preserve">Auto from Section 3.</t>
  </si>
  <si>
    <t xml:space="preserve">Total balances</t>
  </si>
  <si>
    <t xml:space="preserve">Auto from Section 3. If this isn’t paid in full monthly, stop here: interest erases rewards many times over.</t>
  </si>
  <si>
    <t xml:space="preserve">IMPROVEMENT CHECKLIST — mark what applies</t>
  </si>
  <si>
    <t xml:space="preserve">Set autopay (at least minimum) on every card</t>
  </si>
  <si>
    <t xml:space="preserve">Pay balances in full every month</t>
  </si>
  <si>
    <t xml:space="preserve">Keep overall utilization under 30% (aim &lt;10%)</t>
  </si>
  <si>
    <t xml:space="preserve">Keep the oldest card open (downgrade, don’t cancel)</t>
  </si>
  <si>
    <t xml:space="preserve">Space applications out — no bursts of inquiries</t>
  </si>
  <si>
    <t xml:space="preserve">Check reports for errors at annualcreditreport.com</t>
  </si>
  <si>
    <t xml:space="preserve">Section 3 · Current Card Audit</t>
  </si>
  <si>
    <t xml:space="preserve">List EVERY card you have. Pick from the dropdown (the Card Database auto-fills issuer + typical fee) or type any card. Row 6 is an example — overwrite it.</t>
  </si>
  <si>
    <t xml:space="preserve">Card</t>
  </si>
  <si>
    <t xml:space="preserve">Issuer (auto if in DB)</t>
  </si>
  <si>
    <t xml:space="preserve">Credit limit</t>
  </si>
  <si>
    <t xml:space="preserve">Balance</t>
  </si>
  <si>
    <t xml:space="preserve">APR %</t>
  </si>
  <si>
    <t xml:space="preserve">Annual fee</t>
  </si>
  <si>
    <t xml:space="preserve">Opened (YYYY-MM)</t>
  </si>
  <si>
    <t xml:space="preserve">Utilization</t>
  </si>
  <si>
    <t xml:space="preserve">Rewards currency</t>
  </si>
  <si>
    <t xml:space="preserve">Earn rates</t>
  </si>
  <si>
    <t xml:space="preserve">Sign-up bonus you got / spend req / deadline</t>
  </si>
  <si>
    <t xml:space="preserve">Authorized users?</t>
  </si>
  <si>
    <t xml:space="preserve">Verdict</t>
  </si>
  <si>
    <t xml:space="preserve">Benefits, credits &amp; notes</t>
  </si>
  <si>
    <t xml:space="preserve">American Express Gold</t>
  </si>
  <si>
    <t xml:space="preserve">2024-03</t>
  </si>
  <si>
    <t xml:space="preserve">Amex MR</t>
  </si>
  <si>
    <t xml:space="preserve">4x dining · 4x U.S. supermarkets</t>
  </si>
  <si>
    <t xml:space="preserve">60K MR / $6K in 6mo / met</t>
  </si>
  <si>
    <t xml:space="preserve">No</t>
  </si>
  <si>
    <t xml:space="preserve">Keep</t>
  </si>
  <si>
    <t xml:space="preserve">$120 Uber Cash + $120 dining credits — using both</t>
  </si>
  <si>
    <t xml:space="preserve">TOTALS</t>
  </si>
  <si>
    <t xml:space="preserve">Verdict guide — KEEP: you use it and it earns its fee (Section 9 proves it). DOWNGRADE: fee card you don’t use → ask the issuer for a no-fee version, keeping the account age. CANCEL: last resort — usually only for high fees with no downgrade path. Utilization and account age both matter to your score (Section 2).</t>
  </si>
  <si>
    <t xml:space="preserve">Section 4 · Spending Analysis</t>
  </si>
  <si>
    <t xml:space="preserve">Where does your money actually go? Pull 2–3 months of statements and average them. The % column shows which categories matter enough to optimize.</t>
  </si>
  <si>
    <t xml:space="preserve">Category</t>
  </si>
  <si>
    <t xml:space="preserve">% of total</t>
  </si>
  <si>
    <t xml:space="preserve">Best card you own for this</t>
  </si>
  <si>
    <t xml:space="preserve">Optimization notes (which cards excel here)</t>
  </si>
  <si>
    <t xml:space="preserve">Groceries</t>
  </si>
  <si>
    <t xml:space="preserve">Amex Gold</t>
  </si>
  <si>
    <t xml:space="preserve">Category kings: Amex Gold (4x U.S. supermarkets), Citi Strata (3x)</t>
  </si>
  <si>
    <t xml:space="preserve">Dining &amp; restaurants</t>
  </si>
  <si>
    <t xml:space="preserve">Amex Gold (4x), Sapphire Preferred (3x), Savor (3%)</t>
  </si>
  <si>
    <t xml:space="preserve">Gas</t>
  </si>
  <si>
    <t xml:space="preserve">Citi Strata (3x); many co-brands add gas</t>
  </si>
  <si>
    <t xml:space="preserve">Travel — flights</t>
  </si>
  <si>
    <t xml:space="preserve">Amex Platinum (5x flights), Sapphire Reserve, airline cards</t>
  </si>
  <si>
    <t xml:space="preserve">Travel — hotels</t>
  </si>
  <si>
    <t xml:space="preserve">Autograph Journey (5x), portals, hotel co-brands</t>
  </si>
  <si>
    <t xml:space="preserve">Online shopping</t>
  </si>
  <si>
    <t xml:space="preserve">Often 1x territory — a 2% flat card usually wins</t>
  </si>
  <si>
    <t xml:space="preserve">Utilities &amp; phone</t>
  </si>
  <si>
    <t xml:space="preserve">Rarely bonused — flat-rate card</t>
  </si>
  <si>
    <t xml:space="preserve">Streaming &amp; subscriptions</t>
  </si>
  <si>
    <t xml:space="preserve">Small but steady — some cards credit these</t>
  </si>
  <si>
    <t xml:space="preserve">Entertainment</t>
  </si>
  <si>
    <t xml:space="preserve">Savor (3% entertainment)</t>
  </si>
  <si>
    <t xml:space="preserve">Insurance</t>
  </si>
  <si>
    <t xml:space="preserve">Flat-rate card; check for processing fees</t>
  </si>
  <si>
    <t xml:space="preserve">Rent / mortgage</t>
  </si>
  <si>
    <t xml:space="preserve">Usually can’t pay by card without fees — only worth it for a bonus you’d hit anyway, never for regular points</t>
  </si>
  <si>
    <t xml:space="preserve">Business expenses</t>
  </si>
  <si>
    <t xml:space="preserve">Business cards keep this separate (Ink, Amex Business)</t>
  </si>
  <si>
    <t xml:space="preserve">Everything else</t>
  </si>
  <si>
    <t xml:space="preserve">Your flat-rate 1.5–2% anchor</t>
  </si>
  <si>
    <t xml:space="preserve">TOTAL</t>
  </si>
  <si>
    <t xml:space="preserve">Your top-3 categories (by %):</t>
  </si>
  <si>
    <t xml:space="preserve">Optimize these FIRST — a bonus category you barely use is worth nothing.</t>
  </si>
  <si>
    <t xml:space="preserve">#1</t>
  </si>
  <si>
    <t xml:space="preserve">#2</t>
  </si>
  <si>
    <t xml:space="preserve">#3</t>
  </si>
  <si>
    <t xml:space="preserve">Section 5 · Rewards Strategy — Which Ecosystem Fits YOU?</t>
  </si>
  <si>
    <t xml:space="preserve">There is no "best" system — there is a best system for YOUR spending and travel. Read the four paths, take the quiz, then commit to one primary direction.</t>
  </si>
  <si>
    <t xml:space="preserve">CASH BACK</t>
  </si>
  <si>
    <t xml:space="preserve">Simple, flexible, zero learning curve. 1.5–2% on everything, more in categories. Best if you value simplicity, don’t travel much, or want guaranteed value.</t>
  </si>
  <si>
    <t xml:space="preserve">TRANSFERABLE POINTS (Chase UR · Amex MR · Citi TY · Capital One)</t>
  </si>
  <si>
    <t xml:space="preserve">The power-user path: points move to airline/hotel partners where redemptions can beat 2¢/pt — or fall back to ~1¢ cash-style floors. Best if you travel and enjoy optimizing.</t>
  </si>
  <si>
    <t xml:space="preserve">AIRLINE MILES</t>
  </si>
  <si>
    <t xml:space="preserve">Earn into one airline you actually fly. Bags, boarding, and awards — but miles devalue and lock you in. Best as a complement, rarely as the core.</t>
  </si>
  <si>
    <t xml:space="preserve">HOTEL POINTS</t>
  </si>
  <si>
    <t xml:space="preserve">Free nights and status with one chain (5th-night-free at Hilton &amp; Marriott stretches them). Same trade-off: loyalty for flexibility.</t>
  </si>
  <si>
    <t xml:space="preserve">THE 5-QUESTION QUIZ — answer Yes/No</t>
  </si>
  <si>
    <t xml:space="preserve">Do you take 2+ leisure trips a year (or want to)?</t>
  </si>
  <si>
    <t xml:space="preserve">Travel unlocks the outsized value of points.</t>
  </si>
  <si>
    <t xml:space="preserve">Do you pay every card in full, every month, without thinking?</t>
  </si>
  <si>
    <t xml:space="preserve">If not, the answer is cash back — or no rewards at all until you do.</t>
  </si>
  <si>
    <t xml:space="preserve">Are you willing to spend ~1 hour/month managing cards &amp; points?</t>
  </si>
  <si>
    <t xml:space="preserve">Optimization has a real time cost.</t>
  </si>
  <si>
    <t xml:space="preserve">Is your top spending in bonus-able categories (Section 4: dining/groceries/travel)?</t>
  </si>
  <si>
    <t xml:space="preserve">Category multipliers need matching spend.</t>
  </si>
  <si>
    <t xml:space="preserve">Would you enjoy booking a business-class seat with points?</t>
  </si>
  <si>
    <t xml:space="preserve">The single biggest win transferable points offer.</t>
  </si>
  <si>
    <t xml:space="preserve">"Yes" count</t>
  </si>
  <si>
    <t xml:space="preserve">Suggested direction</t>
  </si>
  <si>
    <t xml:space="preserve">A guideline, not a rule — question 2 is the veto: never carry a balance for points.</t>
  </si>
  <si>
    <t xml:space="preserve">EFFECTIVE REWARDS RATE — what are you ACTUALLY earning?</t>
  </si>
  <si>
    <t xml:space="preserve">Rewards earned last 12 months (cash value, $)</t>
  </si>
  <si>
    <t xml:space="preserve">Card spending last 12 months ($)</t>
  </si>
  <si>
    <t xml:space="preserve">Effective rate</t>
  </si>
  <si>
    <t xml:space="preserve">Under 1.5%? A single 2% flat card would beat your current setup. Over 3%? You’re optimizing well.</t>
  </si>
  <si>
    <t xml:space="preserve">Opportunity cost &amp; simplicity: every card you add costs attention — fees to track, credits to remember, categories to think about. The right portfolio is the SIMPLEST one that captures your top categories (Section 4), not the biggest one.</t>
  </si>
  <si>
    <t xml:space="preserve">Section 6 · Portfolio Builder</t>
  </si>
  <si>
    <t xml:space="preserve">Design your wallet on paper before you apply for anything. Each card needs ONE clear role — two cards with the same role is a fee you don’t need.</t>
  </si>
  <si>
    <t xml:space="preserve">Status</t>
  </si>
  <si>
    <t xml:space="preserve">Role in portfolio</t>
  </si>
  <si>
    <t xml:space="preserve">Expected rewards / yr ($)</t>
  </si>
  <si>
    <t xml:space="preserve">Benefits value / yr ($)</t>
  </si>
  <si>
    <t xml:space="preserve">Net value / yr</t>
  </si>
  <si>
    <t xml:space="preserve">Sign-up bonus &amp; spend req</t>
  </si>
  <si>
    <t xml:space="preserve">Purpose — why THIS card</t>
  </si>
  <si>
    <t xml:space="preserve">Own</t>
  </si>
  <si>
    <t xml:space="preserve">Dining &amp; groceries</t>
  </si>
  <si>
    <t xml:space="preserve">60K MR — met</t>
  </si>
  <si>
    <t xml:space="preserve">Food is my #1 category (Sec 4) — 4x turns it into the points engine</t>
  </si>
  <si>
    <t xml:space="preserve">PORTFOLIO TOTALS</t>
  </si>
  <si>
    <t xml:space="preserve">OVERLAP CHECK: scan the Role column — any role appearing twice needs a reason (e.g., a business + personal pair). Estimate "expected rewards" honestly from Section 4 spending × the card’s earn rate, and count only benefits you would use anyway. Net value = rewards + benefits − fee.</t>
  </si>
  <si>
    <t xml:space="preserve">Section 7 · Sign-Up Bonus Tracker</t>
  </si>
  <si>
    <t xml:space="preserve">Plan every bonus around spending you already do. If a required spend is above your normal budget, the answer is a smaller bonus — not bigger spending.</t>
  </si>
  <si>
    <t xml:space="preserve">⚠  NEVER manufacture spending, overspend, or carry a balance to earn a bonus. Interest and impulse purchases erase bonus value instantly. Bonuses are earned with planned, normal spending — or not at all.</t>
  </si>
  <si>
    <t xml:space="preserve">Bonus offered</t>
  </si>
  <si>
    <t xml:space="preserve">Min spend</t>
  </si>
  <si>
    <t xml:space="preserve">Deadline (date)</t>
  </si>
  <si>
    <t xml:space="preserve">Spent so far</t>
  </si>
  <si>
    <t xml:space="preserve">Remaining</t>
  </si>
  <si>
    <t xml:space="preserve">Days left</t>
  </si>
  <si>
    <t xml:space="preserve">Required $/mo pace</t>
  </si>
  <si>
    <t xml:space="preserve">My planned $/mo</t>
  </si>
  <si>
    <t xml:space="preserve">Est. bonus value ($)</t>
  </si>
  <si>
    <t xml:space="preserve">Planned purchases that get me there</t>
  </si>
  <si>
    <t xml:space="preserve">60,000 MR</t>
  </si>
  <si>
    <t xml:space="preserve">Groceries, insurance renewal, planned tire replacement</t>
  </si>
  <si>
    <t xml:space="preserve">Pace check</t>
  </si>
  <si>
    <t xml:space="preserve">Estimated bonus value: points × a conservative value (Section 11). Weigh it against the fee AND your time. A bonus you have to strain for is a bonus that costs more than it pays.</t>
  </si>
  <si>
    <t xml:space="preserve">Section 8 · Application Strategy</t>
  </si>
  <si>
    <t xml:space="preserve">What next, why, and when. Approval is NEVER guaranteed — this framework maximizes your odds and protects your credit while you build.</t>
  </si>
  <si>
    <t xml:space="preserve">READINESS CHECK — answer Yes/No</t>
  </si>
  <si>
    <t xml:space="preserve">Utilization under 30% right now?</t>
  </si>
  <si>
    <t xml:space="preserve">Yes</t>
  </si>
  <si>
    <t xml:space="preserve">High utilization is the most common denial reason issuers cite.</t>
  </si>
  <si>
    <t xml:space="preserve">Fewer than 3 hard inquiries in the last 6 months?</t>
  </si>
  <si>
    <t xml:space="preserve">Bursts of applications read as risk.</t>
  </si>
  <si>
    <t xml:space="preserve">Under 5 new personal cards in 24 months?</t>
  </si>
  <si>
    <t xml:space="preserve">Chase’s widely-reported 5/24 threshold — verify current policy.</t>
  </si>
  <si>
    <t xml:space="preserve">Emergency fund at 3+ months (Section 1)?</t>
  </si>
  <si>
    <t xml:space="preserve">Never build a card portfolio on a fragile foundation.</t>
  </si>
  <si>
    <t xml:space="preserve">Can you meet the target card’s minimum spend with NORMAL spending?</t>
  </si>
  <si>
    <t xml:space="preserve">If no, this isn’t your next card — whatever the bonus.</t>
  </si>
  <si>
    <t xml:space="preserve">Readiness signal</t>
  </si>
  <si>
    <t xml:space="preserve">MY NEXT-CARD SHORTLIST</t>
  </si>
  <si>
    <t xml:space="preserve">Candidate card</t>
  </si>
  <si>
    <t xml:space="preserve">Target offer / source</t>
  </si>
  <si>
    <t xml:space="preserve">Why this card — and what I must accomplish first</t>
  </si>
  <si>
    <t xml:space="preserve">Chase Sapphire Preferred</t>
  </si>
  <si>
    <t xml:space="preserve">Check current offer — verify with issuer</t>
  </si>
  <si>
    <t xml:space="preserve">Unlocks UR transfers for my Hyatt goal (Sec 12). First: finish Amex Gold bonus, drop utilization below 10%.</t>
  </si>
  <si>
    <t xml:space="preserve">THE RULES OF APPLICATION VELOCITY</t>
  </si>
  <si>
    <t xml:space="preserve">•  Space applications ~3+ months apart as a default — slower if scores dip.</t>
  </si>
  <si>
    <t xml:space="preserve">•  Know issuer patterns before you apply (commonly reported — verify): Chase 5/24 · Amex once-per-lifetime bonus language · Capital One sensitivity to many recent accounts.</t>
  </si>
  <si>
    <t xml:space="preserve">•  An existing relationship (deposits, older cards) can help — apply where you already bank when it’s close.</t>
  </si>
  <si>
    <t xml:space="preserve">•  Timing matters: apply when a strong offer aligns with planned spending (a move, insurance renewals) — never create spending to justify a card.</t>
  </si>
  <si>
    <t xml:space="preserve">•  Denied? Don’t reflex-reapply. Call the reconsideration line, understand the reason, fix it.</t>
  </si>
  <si>
    <t xml:space="preserve">Section 9 · Annual Fee Analysis</t>
  </si>
  <si>
    <t xml:space="preserve">A fee is a subscription — worth it only if you would buy what it includes anyway. Count ONLY credits and benefits you genuinely use.</t>
  </si>
  <si>
    <t xml:space="preserve">Credits I actually use ($/yr)</t>
  </si>
  <si>
    <t xml:space="preserve">Benefits value I use ($/yr)</t>
  </si>
  <si>
    <t xml:space="preserve">Rewards earned ($/yr)</t>
  </si>
  <si>
    <t xml:space="preserve">Net value (value − fee)</t>
  </si>
  <si>
    <t xml:space="preserve">Break-even &amp; notes</t>
  </si>
  <si>
    <t xml:space="preserve">Break-even: fee is covered by credits alone if I use Uber + dining every month</t>
  </si>
  <si>
    <t xml:space="preserve">REVIEW ≠ cancel. First ask for a retention offer, then check the no-fee downgrade path (keeps your account age — Section 2), and only then consider canceling. Military note: SCRA/MLA fee waivers are typical for eligible active duty at several issuers — verify your eligibility directly.</t>
  </si>
  <si>
    <t xml:space="preserve">Section 10 · Wallet Strategy — Which Card For Which Purchase</t>
  </si>
  <si>
    <t xml:space="preserve">The output of everything so far: a one-glance answer to "which card do I pull out?" Fill it, then screenshot it for your phone.</t>
  </si>
  <si>
    <t xml:space="preserve">Purchase category</t>
  </si>
  <si>
    <t xml:space="preserve">Card I use</t>
  </si>
  <si>
    <t xml:space="preserve">Earn rate</t>
  </si>
  <si>
    <t xml:space="preserve">Why / reminders</t>
  </si>
  <si>
    <t xml:space="preserve">Dining</t>
  </si>
  <si>
    <t xml:space="preserve">4x MR</t>
  </si>
  <si>
    <t xml:space="preserve">Includes takeout &amp; delivery — check terms</t>
  </si>
  <si>
    <t xml:space="preserve">U.S. supermarkets; warehouse clubs usually excluded</t>
  </si>
  <si>
    <t xml:space="preserve">Flights</t>
  </si>
  <si>
    <t xml:space="preserve">Hotels</t>
  </si>
  <si>
    <t xml:space="preserve">Streaming</t>
  </si>
  <si>
    <t xml:space="preserve">Everyday / everything else</t>
  </si>
  <si>
    <t xml:space="preserve">Big one-off purchases</t>
  </si>
  <si>
    <t xml:space="preserve">Route to an active bonus (Section 7) if one is in progress</t>
  </si>
  <si>
    <t xml:space="preserve">Rotating category — this quarter</t>
  </si>
  <si>
    <t xml:space="preserve">Update quarterly (Freedom Flex-style cards)</t>
  </si>
  <si>
    <t xml:space="preserve">ROTATING CATEGORIES — QUARTER PLANNER</t>
  </si>
  <si>
    <t xml:space="preserve">Quarter</t>
  </si>
  <si>
    <t xml:space="preserve">Activated?</t>
  </si>
  <si>
    <t xml:space="preserve">Q1</t>
  </si>
  <si>
    <t xml:space="preserve">Q2</t>
  </si>
  <si>
    <t xml:space="preserve">Q3</t>
  </si>
  <si>
    <t xml:space="preserve">Q4</t>
  </si>
  <si>
    <t xml:space="preserve">One active-bonus override: while a sign-up bonus is in progress, planned spending goes THERE first, categories second.</t>
  </si>
  <si>
    <t xml:space="preserve">Section 11 · Points &amp; Miles Valuation</t>
  </si>
  <si>
    <t xml:space="preserve">A point has no fixed worth — it’s worth what YOUR redemption gets. This page turns any redemption into cents-per-point so you can compare apples to apples.</t>
  </si>
  <si>
    <t xml:space="preserve">THE FORMULA</t>
  </si>
  <si>
    <t xml:space="preserve">Value per point (¢) = (cash price − award taxes/fees) ÷ points required × 100</t>
  </si>
  <si>
    <t xml:space="preserve">CENTS-PER-POINT CALCULATOR</t>
  </si>
  <si>
    <t xml:space="preserve">Redemption I’m considering</t>
  </si>
  <si>
    <t xml:space="preserve">Cash price ($)</t>
  </si>
  <si>
    <t xml:space="preserve">Award taxes/fees ($)</t>
  </si>
  <si>
    <t xml:space="preserve">Points required</t>
  </si>
  <si>
    <t xml:space="preserve">¢ per point</t>
  </si>
  <si>
    <t xml:space="preserve">Read</t>
  </si>
  <si>
    <t xml:space="preserve">Round-trip economy to London on points</t>
  </si>
  <si>
    <t xml:space="preserve">Example — replace with your real quotes</t>
  </si>
  <si>
    <t xml:space="preserve">Thresholds are general guidelines, not rules — YOUR alternative always matters most.</t>
  </si>
  <si>
    <t xml:space="preserve">WHEN TO CASH OUT vs. TRANSFER</t>
  </si>
  <si>
    <t xml:space="preserve">•  Cash out (portal / statement credit) when: the CPP math lands near your cash floor (~1¢), you need flexibility, or you don’t have a specific award.</t>
  </si>
  <si>
    <t xml:space="preserve">•  Transfer to a partner when: you have FOUND a specific bookable award whose CPP clearly beats the floor — transfers are one-way and final.</t>
  </si>
  <si>
    <t xml:space="preserve">•  Never transfer speculatively. Find the seat or room first, confirm it books, then move exactly the points you need.</t>
  </si>
  <si>
    <t xml:space="preserve">•  Valuations vary by program and change with devaluations — treat every published "point value" as an estimate, and run your own math above.</t>
  </si>
  <si>
    <t xml:space="preserve">Section 12 · Travel Strategy</t>
  </si>
  <si>
    <t xml:space="preserve">Point strategies only work aimed at real trips. Anchor yours to how you actually travel — then plan the points for each specific trip.</t>
  </si>
  <si>
    <t xml:space="preserve">My travel profile</t>
  </si>
  <si>
    <t xml:space="preserve">Answer</t>
  </si>
  <si>
    <t xml:space="preserve">Home airport(s)</t>
  </si>
  <si>
    <t xml:space="preserve">DEN</t>
  </si>
  <si>
    <t xml:space="preserve">Airlines I fly most</t>
  </si>
  <si>
    <t xml:space="preserve">United, Southwest</t>
  </si>
  <si>
    <t xml:space="preserve">Airline status (if any)</t>
  </si>
  <si>
    <t xml:space="preserve">Hotel brands I prefer</t>
  </si>
  <si>
    <t xml:space="preserve">Hyatt</t>
  </si>
  <si>
    <t xml:space="preserve">Hotel status (if any)</t>
  </si>
  <si>
    <t xml:space="preserve">Trips per year (typical)</t>
  </si>
  <si>
    <t xml:space="preserve">3</t>
  </si>
  <si>
    <t xml:space="preserve">Common destinations</t>
  </si>
  <si>
    <t xml:space="preserve">Family in TX; Europe someday</t>
  </si>
  <si>
    <t xml:space="preserve">Travel style</t>
  </si>
  <si>
    <t xml:space="preserve">Economy now, one big trip/yr</t>
  </si>
  <si>
    <t xml:space="preserve">MY POINTS BALANCES</t>
  </si>
  <si>
    <t xml:space="preserve">Program</t>
  </si>
  <si>
    <t xml:space="preserve">Points now</t>
  </si>
  <si>
    <t xml:space="preserve">Est. value ¢/pt (your guess)</t>
  </si>
  <si>
    <t xml:space="preserve">Est. value ($)</t>
  </si>
  <si>
    <t xml:space="preserve">Amex Membership Rewards</t>
  </si>
  <si>
    <t xml:space="preserve">UPCOMING TRIPS — THE POINTS GAP</t>
  </si>
  <si>
    <t xml:space="preserve">Trip</t>
  </si>
  <si>
    <t xml:space="preserve">When</t>
  </si>
  <si>
    <t xml:space="preserve">Program I’d book with</t>
  </si>
  <si>
    <t xml:space="preserve">Points needed</t>
  </si>
  <si>
    <t xml:space="preserve">Points I have</t>
  </si>
  <si>
    <t xml:space="preserve">Points gap</t>
  </si>
  <si>
    <t xml:space="preserve">Plan to close the gap</t>
  </si>
  <si>
    <t xml:space="preserve">Spring trip to see family</t>
  </si>
  <si>
    <t xml:space="preserve">2027-04</t>
  </si>
  <si>
    <t xml:space="preserve">Southwest Rapid Rewards</t>
  </si>
  <si>
    <t xml:space="preserve">Transfer UR after CSP bonus posts</t>
  </si>
  <si>
    <t xml:space="preserve">Transfer partners: your transferable points (Section 5) reach these programs — the site’s Points Strategy tab lists current partners, ratios, and verified transfer bonuses. Always confirm award space BEFORE transferring.</t>
  </si>
  <si>
    <t xml:space="preserve">Section 13 · 12-Month Strategy Planner</t>
  </si>
  <si>
    <t xml:space="preserve">Strategy is a calendar, not a wish. One line per month — small objectives, reviewed monthly, compound into a completely different position by month 12.</t>
  </si>
  <si>
    <t xml:space="preserve">Month</t>
  </si>
  <si>
    <t xml:space="preserve">Financial objective</t>
  </si>
  <si>
    <t xml:space="preserve">Credit objective</t>
  </si>
  <si>
    <t xml:space="preserve">Card / bonus objective</t>
  </si>
  <si>
    <t xml:space="preserve">Spending objective</t>
  </si>
  <si>
    <t xml:space="preserve">Points objective</t>
  </si>
  <si>
    <t xml:space="preserve">Review date</t>
  </si>
  <si>
    <t xml:space="preserve">Month 1</t>
  </si>
  <si>
    <t xml:space="preserve">Refill emergency fund to 3 months</t>
  </si>
  <si>
    <t xml:space="preserve">Set autopay on all cards</t>
  </si>
  <si>
    <t xml:space="preserve">Finish Amex Gold bonus ($900 to go)</t>
  </si>
  <si>
    <t xml:space="preserve">Keep dining on Gold</t>
  </si>
  <si>
    <t xml:space="preserve">Value MR balance (Sec 11)</t>
  </si>
  <si>
    <t xml:space="preserve">2026-09-01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</si>
  <si>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</si>
  <si>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</si>
  <si>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</si>
  <si>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</si>
  <si>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</si>
  <si>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</si>
  <si>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</si>
  <si>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</si>
  <si>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</si>
  <si>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</si>
  <si>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</si>
  <si>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Monthly review ritual (15 min): check bonus pace (Sec 7) · check utilization (Sec 3) · claim monthly credits · update this row · set next review date.</t>
  </si>
  <si>
    <t xml:space="preserve">Section 14 · Long-Term Strategy</t>
  </si>
  <si>
    <t xml:space="preserve">Zoom out. Cards are a tool for a bigger financial life — name where you’re going so every application serves it.</t>
  </si>
  <si>
    <t xml:space="preserve">Horizon</t>
  </si>
  <si>
    <t xml:space="preserve">Credit &amp; cards</t>
  </si>
  <si>
    <t xml:space="preserve">Rewards &amp; travel</t>
  </si>
  <si>
    <t xml:space="preserve">Money &amp; major purchases</t>
  </si>
  <si>
    <t xml:space="preserve">1 year</t>
  </si>
  <si>
    <t xml:space="preserve">Score 750+, utilization &lt;10%</t>
  </si>
  <si>
    <t xml:space="preserve">First business-class-worthy balance</t>
  </si>
  <si>
    <t xml:space="preserve">6-month emergency fund</t>
  </si>
  <si>
    <t xml:space="preserve">2 years</t>
  </si>
  <si>
    <t xml:space="preserve">3 years</t>
  </si>
  <si>
    <t xml:space="preserve">Major upcoming purchases (next 3 years)</t>
  </si>
  <si>
    <t xml:space="preserve">Approx. when</t>
  </si>
  <si>
    <t xml:space="preserve">Approx. amount</t>
  </si>
  <si>
    <t xml:space="preserve">How cards fit (bonus timing? 0% offer? NONE?)</t>
  </si>
  <si>
    <t xml:space="preserve">New tires + brakes</t>
  </si>
  <si>
    <t xml:space="preserve">2026-11</t>
  </si>
  <si>
    <t xml:space="preserve">Times perfectly against CSP minimum spend — already planned</t>
  </si>
  <si>
    <t xml:space="preserve">A major purchase you were ALREADY making is the best bonus fuel there is. A purchase invented to feed a bonus is the most expensive mistake in this hobby.</t>
  </si>
  <si>
    <t xml:space="preserve">READ THIS FIRST · READ IT AGAIN LATER</t>
  </si>
  <si>
    <t xml:space="preserve">The Rules — Responsible Credit, Non-Negotiable</t>
  </si>
  <si>
    <t xml:space="preserve">Everything in this workbook works ONLY on this foundation. Read, agree, and hold the line.</t>
  </si>
  <si>
    <t xml:space="preserve">The rule</t>
  </si>
  <si>
    <t xml:space="preserve">I agree</t>
  </si>
  <si>
    <t xml:space="preserve">Why it matters</t>
  </si>
  <si>
    <t xml:space="preserve">Never spend money solely to earn rewards.</t>
  </si>
  <si>
    <t xml:space="preserve">Rewards return 1–5%. Spending $100 to earn $2 is losing $98.</t>
  </si>
  <si>
    <t xml:space="preserve">Never carry a balance to earn points.</t>
  </si>
  <si>
    <t xml:space="preserve">Interest at 20%+ APR erases a year of rewards in weeks.</t>
  </si>
  <si>
    <t xml:space="preserve">Pay every statement on time — autopay the minimum as a floor.</t>
  </si>
  <si>
    <t xml:space="preserve">Payment history is the biggest score factor, and late fees compound.</t>
  </si>
  <si>
    <t xml:space="preserve">Know every card’s APR — and behave as if you’ll never pay it.</t>
  </si>
  <si>
    <t xml:space="preserve">The APR only matters if you break rule #2. Don’t.</t>
  </si>
  <si>
    <t xml:space="preserve">Know every annual fee and what it buys (Section 9).</t>
  </si>
  <si>
    <t xml:space="preserve">Fees are fine when they’re net-positive. Unexamined fees are a leak.</t>
  </si>
  <si>
    <t xml:space="preserve">Never apply for a card only because the bonus is shiny.</t>
  </si>
  <si>
    <t xml:space="preserve">The card must have a role in YOUR portfolio (Section 6) — bonus second.</t>
  </si>
  <si>
    <t xml:space="preserve">If rewards make you spend more, stop chasing rewards.</t>
  </si>
  <si>
    <t xml:space="preserve">The psychology is real. Track it honestly in Section 4.</t>
  </si>
  <si>
    <t xml:space="preserve">Keep your emergency fund funded before optimizing anything.</t>
  </si>
  <si>
    <t xml:space="preserve">3–6 months of essentials (Section 1). Cards are not an emergency fund.</t>
  </si>
  <si>
    <t xml:space="preserve">Approval is never guaranteed — plan for a “no.”</t>
  </si>
  <si>
    <t xml:space="preserve">Issuers weigh factors you can’t see. A denial is information, not failure.</t>
  </si>
  <si>
    <t xml:space="preserve">Verify EVERYTHING with the issuer before applying.</t>
  </si>
  <si>
    <t xml:space="preserve">Offers, fees, eligibility rules, and benefits change without notice.</t>
  </si>
  <si>
    <t xml:space="preserve">Rules acknowledged</t>
  </si>
  <si>
    <t xml:space="preserve">Card Database — Current vs. Typical Offers</t>
  </si>
  <si>
    <t xml:space="preserve">Verified 2026-08 · Sources: The Points Guy (8/2/26), Doctor of Credit (8/8/26) · Offers vary by applicant and change without notice — ALWAYS verify the live offer and military (SCRA/MLA) fee policy with the issuer before applying.</t>
  </si>
  <si>
    <t xml:space="preserve">Issuer</t>
  </si>
  <si>
    <t xml:space="preserve">Type</t>
  </si>
  <si>
    <t xml:space="preserve">Annual Fee</t>
  </si>
  <si>
    <t xml:space="preserve">Current Offer</t>
  </si>
  <si>
    <t xml:space="preserve">Typical Offer</t>
  </si>
  <si>
    <t xml:space="preserve">Verified</t>
  </si>
  <si>
    <t xml:space="preserve">Source</t>
  </si>
  <si>
    <t xml:space="preserve">Earning</t>
  </si>
  <si>
    <t xml:space="preserve">Purpose</t>
  </si>
  <si>
    <t xml:space="preserve">Military / Eligibility Notes</t>
  </si>
  <si>
    <t xml:space="preserve">Chase</t>
  </si>
  <si>
    <t xml:space="preserve">Personal</t>
  </si>
  <si>
    <t xml:space="preserve">Verify — 100K offer ended 8/6/26</t>
  </si>
  <si>
    <t xml:space="preserve">60K–100K UR</t>
  </si>
  <si>
    <t xml:space="preserve">2026-08</t>
  </si>
  <si>
    <t xml:space="preserve">DoC 8/8/26</t>
  </si>
  <si>
    <t xml:space="preserve">3x dining · 2x travel · UR transfers</t>
  </si>
  <si>
    <t xml:space="preserve">Starter transferable-points card; unlocks Chase UR</t>
  </si>
  <si>
    <t xml:space="preserve">Chase fee typically waived for eligible active duty (MLA) — verify. Subject to 5/24.</t>
  </si>
  <si>
    <t xml:space="preserve">Chase Sapphire Reserve</t>
  </si>
  <si>
    <t xml:space="preserve">100,000 UR — $6K/3mo (Elevated)</t>
  </si>
  <si>
    <t xml:space="preserve">TPG 8/2/26</t>
  </si>
  <si>
    <t xml:space="preserve">Premium travel · UR transfers</t>
  </si>
  <si>
    <t xml:space="preserve">Premium travel: lounges, $300 credit, protections</t>
  </si>
  <si>
    <t xml:space="preserve">Fee typically waived for eligible active duty — verify. Subject to 5/24.</t>
  </si>
  <si>
    <t xml:space="preserve">Amex</t>
  </si>
  <si>
    <t xml:space="preserve">Up to 100,000 MR — $8K/6mo (Elevated)</t>
  </si>
  <si>
    <t xml:space="preserve">60K–90K MR</t>
  </si>
  <si>
    <t xml:space="preserve">Food earning engine for MR</t>
  </si>
  <si>
    <t xml:space="preserve">SCRA/MLA fee waiver typical for eligible active duty — verify. Amex once-per-lifetime language.</t>
  </si>
  <si>
    <t xml:space="preserve">American Express Platinum</t>
  </si>
  <si>
    <t xml:space="preserve">Up to 175,000 MR — $12K/6mo (Elevated)</t>
  </si>
  <si>
    <t xml:space="preserve">80K–150K MR</t>
  </si>
  <si>
    <t xml:space="preserve">5x flights · premium credits</t>
  </si>
  <si>
    <t xml:space="preserve">Premium travel benefits: lounges, credits, status</t>
  </si>
  <si>
    <t xml:space="preserve">SCRA/MLA waiver typical — verify. Offers vary by applicant.</t>
  </si>
  <si>
    <t xml:space="preserve">Amex Charles Schwab Platinum</t>
  </si>
  <si>
    <t xml:space="preserve">Verify with issuer</t>
  </si>
  <si>
    <t xml:space="preserve">Tracks Platinum family</t>
  </si>
  <si>
    <t xml:space="preserve">—</t>
  </si>
  <si>
    <t xml:space="preserve">Platinum benefits + MR→Schwab cash-out</t>
  </si>
  <si>
    <t xml:space="preserve">MR → brokerage redemption strategy</t>
  </si>
  <si>
    <t xml:space="preserve">Requires Schwab account. SCRA/MLA waiver typical — verify.</t>
  </si>
  <si>
    <t xml:space="preserve">Capital One Venture X</t>
  </si>
  <si>
    <t xml:space="preserve">Capital One</t>
  </si>
  <si>
    <t xml:space="preserve">Verify — prior offers ended 4/30/26</t>
  </si>
  <si>
    <t xml:space="preserve">Commonly 75K miles</t>
  </si>
  <si>
    <t xml:space="preserve">2x everything · portal 10x hotels</t>
  </si>
  <si>
    <t xml:space="preserve">Value-premium travel with lounge access</t>
  </si>
  <si>
    <t xml:space="preserve">Military fee policy: verify with Capital One.</t>
  </si>
  <si>
    <t xml:space="preserve">Capital One Venture</t>
  </si>
  <si>
    <t xml:space="preserve">2x everything</t>
  </si>
  <si>
    <t xml:space="preserve">Simple flat travel earning</t>
  </si>
  <si>
    <t xml:space="preserve">Military fee policy: verify.</t>
  </si>
  <si>
    <t xml:space="preserve">Capital One Savor</t>
  </si>
  <si>
    <t xml:space="preserve">$250 — $500/3mo</t>
  </si>
  <si>
    <t xml:space="preserve">$200–$300</t>
  </si>
  <si>
    <t xml:space="preserve">3% dining/entertainment/groceries</t>
  </si>
  <si>
    <t xml:space="preserve">No-fee food &amp; fun earner</t>
  </si>
  <si>
    <t xml:space="preserve">Citi Strata Premier</t>
  </si>
  <si>
    <t xml:space="preserve">Citi</t>
  </si>
  <si>
    <t xml:space="preserve">60K–75K TY</t>
  </si>
  <si>
    <t xml:space="preserve">3x dining/groceries/gas/air/hotels</t>
  </si>
  <si>
    <t xml:space="preserve">Broad earning + ThankYou transfers</t>
  </si>
  <si>
    <t xml:space="preserve">Military fee policy varies — verify with Citi.</t>
  </si>
  <si>
    <t xml:space="preserve">Wells Fargo Autograph Journey</t>
  </si>
  <si>
    <t xml:space="preserve">Wells Fargo</t>
  </si>
  <si>
    <t xml:space="preserve">60K at launch</t>
  </si>
  <si>
    <t xml:space="preserve">CNBC</t>
  </si>
  <si>
    <t xml:space="preserve">5x hotels · 4x airlines</t>
  </si>
  <si>
    <t xml:space="preserve">Transferable points outside big-3</t>
  </si>
  <si>
    <t xml:space="preserve">Chase Freedom Unlimited</t>
  </si>
  <si>
    <t xml:space="preserve">$200 — $500/3mo</t>
  </si>
  <si>
    <t xml:space="preserve">$150–$250</t>
  </si>
  <si>
    <t xml:space="preserve">1.5x everything · 3x dining</t>
  </si>
  <si>
    <t xml:space="preserve">No-fee catch-all; feeds UR with Sapphire</t>
  </si>
  <si>
    <t xml:space="preserve">Subject to 5/24.</t>
  </si>
  <si>
    <t xml:space="preserve">Chase Freedom Flex</t>
  </si>
  <si>
    <t xml:space="preserve">$200</t>
  </si>
  <si>
    <t xml:space="preserve">5x rotating categories</t>
  </si>
  <si>
    <t xml:space="preserve">Quarterly 5x earner for UR stack</t>
  </si>
  <si>
    <t xml:space="preserve">Citi Double Cash</t>
  </si>
  <si>
    <t xml:space="preserve">2% everywhere</t>
  </si>
  <si>
    <t xml:space="preserve">Flat-rate anchor; converts to TY</t>
  </si>
  <si>
    <t xml:space="preserve">World of Hyatt</t>
  </si>
  <si>
    <t xml:space="preserve">Up to 75,000 pts — $5K/3mo (Elevated)</t>
  </si>
  <si>
    <t xml:space="preserve">30K–60K</t>
  </si>
  <si>
    <t xml:space="preserve">Hyatt earning + free night</t>
  </si>
  <si>
    <t xml:space="preserve">Highest-value hotel currency</t>
  </si>
  <si>
    <t xml:space="preserve">Fee typically waived for eligible active duty — verify. 5/24.</t>
  </si>
  <si>
    <t xml:space="preserve">Hilton Honors Surpass</t>
  </si>
  <si>
    <t xml:space="preserve">130K–170K Hilton</t>
  </si>
  <si>
    <t xml:space="preserve">12x Hilton</t>
  </si>
  <si>
    <t xml:space="preserve">Hilton Gold + free-night path</t>
  </si>
  <si>
    <t xml:space="preserve">SCRA/MLA waiver typical — verify.</t>
  </si>
  <si>
    <t xml:space="preserve">Hilton Honors Aspire</t>
  </si>
  <si>
    <t xml:space="preserve">150K–175K Hilton</t>
  </si>
  <si>
    <t xml:space="preserve">14x Hilton</t>
  </si>
  <si>
    <t xml:space="preserve">Hilton Diamond + resort credits + free night</t>
  </si>
  <si>
    <t xml:space="preserve">Marriott Bonvoy Brilliant</t>
  </si>
  <si>
    <t xml:space="preserve">150,000 pts + $250 credit (Elevated)</t>
  </si>
  <si>
    <t xml:space="preserve">95K–150K</t>
  </si>
  <si>
    <t xml:space="preserve">6x Marriott</t>
  </si>
  <si>
    <t xml:space="preserve">Marriott Platinum + credits + 85K night</t>
  </si>
  <si>
    <t xml:space="preserve">Reportedly without lifetime language — verify. SCRA/MLA waiver typical.</t>
  </si>
  <si>
    <t xml:space="preserve">IHG One Rewards Premier</t>
  </si>
  <si>
    <t xml:space="preserve">140K–175K IHG</t>
  </si>
  <si>
    <t xml:space="preserve">IHG + 4th-night-free</t>
  </si>
  <si>
    <t xml:space="preserve">IHG free nights + Platinum status</t>
  </si>
  <si>
    <t xml:space="preserve">Fee waiver typical for active duty — verify. 5/24.</t>
  </si>
  <si>
    <t xml:space="preserve">Delta SkyMiles Gold</t>
  </si>
  <si>
    <t xml:space="preserve">90,000 miles (Elevated)</t>
  </si>
  <si>
    <t xml:space="preserve">40K–70K</t>
  </si>
  <si>
    <t xml:space="preserve">2x Delta/dining/groceries</t>
  </si>
  <si>
    <t xml:space="preserve">Free bags + Delta miles</t>
  </si>
  <si>
    <t xml:space="preserve">Delta SkyMiles Platinum</t>
  </si>
  <si>
    <t xml:space="preserve">100,000 miles (Elevated)</t>
  </si>
  <si>
    <t xml:space="preserve">50K–90K</t>
  </si>
  <si>
    <t xml:space="preserve">Delta + companion cert</t>
  </si>
  <si>
    <t xml:space="preserve">Annual companion certificate</t>
  </si>
  <si>
    <t xml:space="preserve">Delta SkyMiles Reserve</t>
  </si>
  <si>
    <t xml:space="preserve">125,000 miles (Elevated)</t>
  </si>
  <si>
    <t xml:space="preserve">60K–100K</t>
  </si>
  <si>
    <t xml:space="preserve">Delta + Sky Club</t>
  </si>
  <si>
    <t xml:space="preserve">Sky Club access + companion cert</t>
  </si>
  <si>
    <t xml:space="preserve">United Explorer</t>
  </si>
  <si>
    <t xml:space="preserve">50K–80K</t>
  </si>
  <si>
    <t xml:space="preserve">2x United/dining/hotels</t>
  </si>
  <si>
    <t xml:space="preserve">Free bags + award availability</t>
  </si>
  <si>
    <t xml:space="preserve">United Club Infinite</t>
  </si>
  <si>
    <t xml:space="preserve">80K–100K</t>
  </si>
  <si>
    <t xml:space="preserve">United + Club membership</t>
  </si>
  <si>
    <t xml:space="preserve">Full United Club membership</t>
  </si>
  <si>
    <t xml:space="preserve">Fee waiver typical — verify. 5/24.</t>
  </si>
  <si>
    <t xml:space="preserve">Southwest Rapid Rewards Priority</t>
  </si>
  <si>
    <t xml:space="preserve">50K–85K</t>
  </si>
  <si>
    <t xml:space="preserve">Southwest earning</t>
  </si>
  <si>
    <t xml:space="preserve">Companion-Pass progress + credits</t>
  </si>
  <si>
    <t xml:space="preserve">Citi / AAdvantage Platinum Select</t>
  </si>
  <si>
    <t xml:space="preserve">50K–75K</t>
  </si>
  <si>
    <t xml:space="preserve">2x AA/dining/gas</t>
  </si>
  <si>
    <t xml:space="preserve">AA miles + free bags</t>
  </si>
  <si>
    <t xml:space="preserve">Military fee policy: verify with Citi.</t>
  </si>
  <si>
    <t xml:space="preserve">Amex Blue Business Plus</t>
  </si>
  <si>
    <t xml:space="preserve">Business</t>
  </si>
  <si>
    <t xml:space="preserve">75,000 MR — $15K (YMMV, Elevated)</t>
  </si>
  <si>
    <t xml:space="preserve">15K–50K MR</t>
  </si>
  <si>
    <t xml:space="preserve">2x everything (to $50k/yr)</t>
  </si>
  <si>
    <t xml:space="preserve">No-fee MR engine for business</t>
  </si>
  <si>
    <t xml:space="preserve">Requires legitimate business activity.</t>
  </si>
  <si>
    <t xml:space="preserve">Amex Business Gold</t>
  </si>
  <si>
    <t xml:space="preserve">Up to 200,000 MR — $15K/3mo (Elevated)</t>
  </si>
  <si>
    <t xml:space="preserve">70K–130K MR</t>
  </si>
  <si>
    <t xml:space="preserve">4x top 2 categories</t>
  </si>
  <si>
    <t xml:space="preserve">Adaptive MR earning for business</t>
  </si>
  <si>
    <t xml:space="preserve">Business required.</t>
  </si>
  <si>
    <t xml:space="preserve">Amex Business Platinum</t>
  </si>
  <si>
    <t xml:space="preserve">Up to 300,000 MR — $20K/3mo (Elevated)</t>
  </si>
  <si>
    <t xml:space="preserve">120K–190K MR</t>
  </si>
  <si>
    <t xml:space="preserve">Premium travel, business side</t>
  </si>
  <si>
    <t xml:space="preserve">Business required. High spend req.</t>
  </si>
  <si>
    <t xml:space="preserve">Chase Ink Business Preferred</t>
  </si>
  <si>
    <t xml:space="preserve">100,000 UR — $8K/3mo</t>
  </si>
  <si>
    <t xml:space="preserve">90K–120K UR</t>
  </si>
  <si>
    <t xml:space="preserve">3x travel/shipping/ads</t>
  </si>
  <si>
    <t xml:space="preserve">Big UR bonuses, business side</t>
  </si>
  <si>
    <t xml:space="preserve">Chase Ink Business Cash</t>
  </si>
  <si>
    <t xml:space="preserve">$1,000 — $8K/4mo (Elevated)</t>
  </si>
  <si>
    <t xml:space="preserve">$350–$750</t>
  </si>
  <si>
    <t xml:space="preserve">5% office categories</t>
  </si>
  <si>
    <t xml:space="preserve">No-fee business earner</t>
  </si>
  <si>
    <t xml:space="preserve">THE FINAL PAGE · YOUR PERSONAL STRATEGY</t>
  </si>
  <si>
    <t xml:space="preserve">MY CREDIT CARD STRATEGY</t>
  </si>
  <si>
    <t xml:space="preserve">The one page that matters — consolidate everything you worked out above. Print it. Screenshot it. Live it.</t>
  </si>
  <si>
    <t xml:space="preserve">My current situation (one honest sentence)</t>
  </si>
  <si>
    <t xml:space="preserve">Solid income, 3 cards, bonus in progress, emergency fund at 2.4 months</t>
  </si>
  <si>
    <t xml:space="preserve">Total credit limits / balances / utilization (auto)</t>
  </si>
  <si>
    <t xml:space="preserve">Total annual fees I pay (auto, from Section 9)</t>
  </si>
  <si>
    <t xml:space="preserve">My primary rewards goal</t>
  </si>
  <si>
    <t xml:space="preserve">One great trip per year, paid mostly with points</t>
  </si>
  <si>
    <t xml:space="preserve">My rewards ecosystem (from Section 5 quiz)</t>
  </si>
  <si>
    <t xml:space="preserve">Transferable points — Chase UR + Amex MR</t>
  </si>
  <si>
    <t xml:space="preserve">My current cards (summary)</t>
  </si>
  <si>
    <t xml:space="preserve">Amex Gold · Freedom Unlimited · [oldest no-fee card]</t>
  </si>
  <si>
    <t xml:space="preserve">Cards I will KEEP</t>
  </si>
  <si>
    <t xml:space="preserve">Amex Gold (food engine), Freedom Unlimited (flat anchor), oldest card (history)</t>
  </si>
  <si>
    <t xml:space="preserve">Cards I will DOWNGRADE or CANCEL</t>
  </si>
  <si>
    <t xml:space="preserve">None right now — re-run Section 9 at each renewal</t>
  </si>
  <si>
    <t xml:space="preserve">My NEXT card</t>
  </si>
  <si>
    <t xml:space="preserve">Why — and what must happen first</t>
  </si>
  <si>
    <t xml:space="preserve">Unlocks UR transfers for the travel goal. First: finish the Gold bonus, utilization under 10%.</t>
  </si>
  <si>
    <t xml:space="preserve">My 12-month plan in one line</t>
  </si>
  <si>
    <t xml:space="preserve">Q1 finish bonus → Q2 apply CSP → Q3 meet spend with planned purchases → Q4 book spring trip</t>
  </si>
  <si>
    <t xml:space="preserve">My rules (the ones I most need to hear)</t>
  </si>
  <si>
    <t xml:space="preserve">Pay in full, always. No spending for points. Review fees every renewal.</t>
  </si>
  <si>
    <t xml:space="preserve">Signed (your name) and date — a strategy you sign is a strategy you follow:</t>
  </si>
  <si>
    <t xml:space="preserve">Educational planning tool — not financial advice. Approvals never guaranteed; offers and terms change without notice — verify with each issuer. Rewards only have value when balances are paid in full.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</si>
</sst>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"/>
    <numFmt numFmtId="167" formatCode="0.0"/>
    <numFmt numFmtId="168" formatCode="0.0%"/>
    <numFmt numFmtId="169" formatCode="0.00"/>
    <numFmt numFmtId="170" formatCode="\$#,##0"/>
    <numFmt numFmtId="171" formatCode="yyyy\-mm\-dd"/>
    <numFmt numFmtId="172" formatCode="#,##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C8A24A"/>
      <name val="Arial"/>
      <family val="0"/>
      <charset val="1"/>
    </font>
    <font>
      <b val="true"/>
      <sz val="34"/>
      <color rgb="FFFFFFFF"/>
      <name val="Arial"/>
      <family val="0"/>
      <charset val="1"/>
    </font>
    <font>
      <b val="true"/>
      <sz val="34"/>
      <color rgb="FFC8A24A"/>
      <name val="Arial"/>
      <family val="0"/>
      <charset val="1"/>
    </font>
    <font>
      <sz val="12"/>
      <color rgb="FFD9E2EC"/>
      <name val="Arial"/>
      <family val="0"/>
      <charset val="1"/>
    </font>
    <font>
      <sz val="10"/>
      <color rgb="FFAFC0D4"/>
      <name val="Arial"/>
      <family val="0"/>
      <charset val="1"/>
    </font>
    <font>
      <sz val="10"/>
      <color rgb="FFC8A24A"/>
      <name val="Arial"/>
      <family val="0"/>
      <charset val="1"/>
    </font>
    <font>
      <sz val="9"/>
      <color rgb="FF8FA3B8"/>
      <name val="Arial"/>
      <family val="0"/>
      <charset val="1"/>
    </font>
    <font>
      <sz val="8"/>
      <color rgb="FF8FA3B8"/>
      <name val="Arial"/>
      <family val="0"/>
      <charset val="1"/>
    </font>
    <font>
      <b val="true"/>
      <sz val="9"/>
      <color rgb="FF8A6D2A"/>
      <name val="Arial"/>
      <family val="0"/>
      <charset val="1"/>
    </font>
    <font>
      <b val="true"/>
      <sz val="16"/>
      <color rgb="FF0A2540"/>
      <name val="Arial"/>
      <family val="0"/>
      <charset val="1"/>
    </font>
    <font>
      <sz val="9"/>
      <color rgb="FF5C6A7D"/>
      <name val="Arial"/>
      <family val="0"/>
      <charset val="1"/>
    </font>
    <font>
      <b val="true"/>
      <sz val="12"/>
      <color rgb="FF0A254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1A2331"/>
      <name val="Arial"/>
      <family val="0"/>
      <charset val="1"/>
    </font>
    <font>
      <b val="true"/>
      <sz val="10"/>
      <color rgb="FF0A254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8A6D2A"/>
      <name val="Arial"/>
      <family val="0"/>
      <charset val="1"/>
    </font>
    <font>
      <b val="true"/>
      <sz val="10"/>
      <color rgb="FFB3202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2540"/>
        <bgColor rgb="FF1A2331"/>
      </patternFill>
    </fill>
    <fill>
      <patternFill patternType="solid">
        <fgColor rgb="FFFFF6D9"/>
        <bgColor rgb="FFF6F7F9"/>
      </patternFill>
    </fill>
    <fill>
      <patternFill patternType="solid">
        <fgColor rgb="FFF6F7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6EC"/>
      </left>
      <right style="thin">
        <color rgb="FFE2E6EC"/>
      </right>
      <top style="thin">
        <color rgb="FFE2E6EC"/>
      </top>
      <bottom style="thin">
        <color rgb="FFE2E6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2A"/>
      <rgbColor rgb="FF800080"/>
      <rgbColor rgb="FF008080"/>
      <rgbColor rgb="FFAFC0D4"/>
      <rgbColor rgb="FF808080"/>
      <rgbColor rgb="FF9999FF"/>
      <rgbColor rgb="FF993366"/>
      <rgbColor rgb="FFFFF6D9"/>
      <rgbColor rgb="FFE2E6EC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7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A24A"/>
      <rgbColor rgb="FFFF6600"/>
      <rgbColor rgb="FF5C6A7D"/>
      <rgbColor rgb="FF8FA3B8"/>
      <rgbColor rgb="FF0A2540"/>
      <rgbColor rgb="FF339966"/>
      <rgbColor rgb="FF003300"/>
      <rgbColor rgb="FF333300"/>
      <rgbColor rgb="FFB3202C"/>
      <rgbColor rgb="FF993366"/>
      <rgbColor rgb="FF333399"/>
      <rgbColor rgb="FF1A23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credit-card-strategy-workbook.xlsx" TargetMode="External"/><Relationship Id="rId2" Type="http://schemas.openxmlformats.org/officeDocument/2006/relationships/hyperlink" Target="credit-card-strategy-workbook.xlsx" TargetMode="External"/><Relationship Id="rId3" Type="http://schemas.openxmlformats.org/officeDocument/2006/relationships/hyperlink" Target="credit-card-strategy-workbook.xlsx" TargetMode="External"/><Relationship Id="rId4" Type="http://schemas.openxmlformats.org/officeDocument/2006/relationships/hyperlink" Target="credit-card-strategy-workbook.xlsx" TargetMode="External"/><Relationship Id="rId5" Type="http://schemas.openxmlformats.org/officeDocument/2006/relationships/hyperlink" Target="credit-card-strategy-workbook.xlsx" TargetMode="External"/><Relationship Id="rId6" Type="http://schemas.openxmlformats.org/officeDocument/2006/relationships/hyperlink" Target="credit-card-strategy-workbook.xlsx" TargetMode="External"/><Relationship Id="rId7" Type="http://schemas.openxmlformats.org/officeDocument/2006/relationships/hyperlink" Target="credit-card-strategy-workbook.xlsx" TargetMode="External"/><Relationship Id="rId8" Type="http://schemas.openxmlformats.org/officeDocument/2006/relationships/hyperlink" Target="credit-card-strategy-workbook.xlsx" TargetMode="External"/><Relationship Id="rId9" Type="http://schemas.openxmlformats.org/officeDocument/2006/relationships/hyperlink" Target="credit-card-strategy-workbook.xlsx" TargetMode="External"/><Relationship Id="rId10" Type="http://schemas.openxmlformats.org/officeDocument/2006/relationships/hyperlink" Target="credit-card-strategy-workbook.xlsx" TargetMode="External"/><Relationship Id="rId11" Type="http://schemas.openxmlformats.org/officeDocument/2006/relationships/hyperlink" Target="credit-card-strategy-workbook.xlsx" TargetMode="External"/><Relationship Id="rId12" Type="http://schemas.openxmlformats.org/officeDocument/2006/relationships/hyperlink" Target="credit-card-strategy-workbook.xlsx" TargetMode="External"/><Relationship Id="rId13" Type="http://schemas.openxmlformats.org/officeDocument/2006/relationships/hyperlink" Target="credit-card-strategy-workbook.xlsx" TargetMode="External"/><Relationship Id="rId14" Type="http://schemas.openxmlformats.org/officeDocument/2006/relationships/hyperlink" Target="credit-card-strategy-workbook.xlsx" TargetMode="External"/><Relationship Id="rId15" Type="http://schemas.openxmlformats.org/officeDocument/2006/relationships/hyperlink" Target="credit-card-strategy-workbook.xlsx" TargetMode="External"/><Relationship Id="rId16" Type="http://schemas.openxmlformats.org/officeDocument/2006/relationships/hyperlink" Target="credit-card-strategy-workbook.xlsx" TargetMode="External"/><Relationship Id="rId17" Type="http://schemas.openxmlformats.org/officeDocument/2006/relationships/hyperlink" Target="credit-card-strategy-workbook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4A"/>
    <pageSetUpPr fitToPage="false"/>
  </sheetPr>
  <dimension ref="A1:B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0"/>
  </cols>
  <sheetData>
    <row r="1" customFormat="false" ht="15.75" hidden="false" customHeight="true" outlineLevel="0" collapsed="false">
      <c r="A1" s="2"/>
      <c r="B1" s="2"/>
    </row>
    <row r="2" customFormat="false" ht="15.75" hidden="false" customHeight="true" outlineLevel="0" collapsed="false">
      <c r="A2" s="2"/>
      <c r="B2" s="2"/>
    </row>
    <row r="3" customFormat="false" ht="15.75" hidden="false" customHeight="true" outlineLevel="0" collapsed="false">
      <c r="A3" s="2"/>
      <c r="B3" s="2"/>
    </row>
    <row r="4" customFormat="false" ht="15.75" hidden="false" customHeight="true" outlineLevel="0" collapsed="false">
      <c r="A4" s="2"/>
      <c r="B4" s="2"/>
    </row>
    <row r="5" customFormat="false" ht="15.75" hidden="false" customHeight="true" outlineLevel="0" collapsed="false">
      <c r="A5" s="2"/>
      <c r="B5" s="2"/>
    </row>
    <row r="6" customFormat="false" ht="15.75" hidden="false" customHeight="true" outlineLevel="0" collapsed="false">
      <c r="A6" s="2"/>
      <c r="B6" s="2"/>
    </row>
    <row r="7" customFormat="false" ht="15.75" hidden="false" customHeight="true" outlineLevel="0" collapsed="false">
      <c r="A7" s="2"/>
      <c r="B7" s="2"/>
    </row>
    <row r="8" customFormat="false" ht="15.75" hidden="false" customHeight="true" outlineLevel="0" collapsed="false">
      <c r="A8" s="2"/>
      <c r="B8" s="3" t="s">
        <v>0</v>
      </c>
    </row>
    <row r="9" customFormat="false" ht="15.75" hidden="false" customHeight="true" outlineLevel="0" collapsed="false">
      <c r="A9" s="2"/>
      <c r="B9" s="2"/>
    </row>
    <row r="10" customFormat="false" ht="42" hidden="false" customHeight="true" outlineLevel="0" collapsed="false">
      <c r="A10" s="2"/>
      <c r="B10" s="4" t="s">
        <v>1</v>
      </c>
    </row>
    <row r="11" customFormat="false" ht="42" hidden="false" customHeight="true" outlineLevel="0" collapsed="false">
      <c r="A11" s="2"/>
      <c r="B11" s="5" t="s">
        <v>2</v>
      </c>
    </row>
    <row r="12" customFormat="false" ht="15.75" hidden="false" customHeight="true" outlineLevel="0" collapsed="false">
      <c r="A12" s="2"/>
      <c r="B12" s="2"/>
    </row>
    <row r="13" customFormat="false" ht="15.75" hidden="false" customHeight="true" outlineLevel="0" collapsed="false">
      <c r="A13" s="2"/>
      <c r="B13" s="2"/>
    </row>
    <row r="14" customFormat="false" ht="15.75" hidden="false" customHeight="true" outlineLevel="0" collapsed="false">
      <c r="A14" s="2"/>
      <c r="B14" s="6" t="s">
        <v>3</v>
      </c>
    </row>
    <row r="15" customFormat="false" ht="15.75" hidden="false" customHeight="true" outlineLevel="0" collapsed="false">
      <c r="A15" s="2"/>
      <c r="B15" s="2"/>
    </row>
    <row r="16" customFormat="false" ht="15.75" hidden="false" customHeight="true" outlineLevel="0" collapsed="false">
      <c r="A16" s="2"/>
      <c r="B16" s="2"/>
    </row>
    <row r="17" customFormat="false" ht="15.75" hidden="false" customHeight="true" outlineLevel="0" collapsed="false">
      <c r="A17" s="2"/>
      <c r="B17" s="7" t="s">
        <v>4</v>
      </c>
    </row>
    <row r="18" customFormat="false" ht="15.75" hidden="false" customHeight="true" outlineLevel="0" collapsed="false">
      <c r="A18" s="2"/>
      <c r="B18" s="7" t="s">
        <v>5</v>
      </c>
    </row>
    <row r="19" customFormat="false" ht="15.75" hidden="false" customHeight="true" outlineLevel="0" collapsed="false">
      <c r="A19" s="2"/>
      <c r="B19" s="2"/>
    </row>
    <row r="20" customFormat="false" ht="15.75" hidden="false" customHeight="true" outlineLevel="0" collapsed="false">
      <c r="A20" s="2"/>
      <c r="B20" s="2"/>
    </row>
    <row r="21" customFormat="false" ht="15.75" hidden="false" customHeight="true" outlineLevel="0" collapsed="false">
      <c r="A21" s="2"/>
      <c r="B21" s="8" t="s">
        <v>6</v>
      </c>
    </row>
    <row r="22" customFormat="false" ht="15.75" hidden="false" customHeight="true" outlineLevel="0" collapsed="false">
      <c r="A22" s="2"/>
      <c r="B22" s="2"/>
    </row>
    <row r="23" customFormat="false" ht="15.75" hidden="false" customHeight="true" outlineLevel="0" collapsed="false">
      <c r="A23" s="2"/>
      <c r="B23" s="9" t="s">
        <v>7</v>
      </c>
    </row>
    <row r="24" customFormat="false" ht="15.75" hidden="false" customHeight="true" outlineLevel="0" collapsed="false">
      <c r="A24" s="2"/>
      <c r="B24" s="2"/>
    </row>
    <row r="25" customFormat="false" ht="15.75" hidden="false" customHeight="true" outlineLevel="0" collapsed="false">
      <c r="A25" s="2"/>
      <c r="B25" s="2"/>
    </row>
    <row r="26" customFormat="false" ht="15.75" hidden="false" customHeight="true" outlineLevel="0" collapsed="false">
      <c r="A26" s="2"/>
      <c r="B26" s="2"/>
    </row>
    <row r="27" customFormat="false" ht="15.75" hidden="false" customHeight="true" outlineLevel="0" collapsed="false">
      <c r="A27" s="2"/>
      <c r="B27" s="2"/>
    </row>
    <row r="28" customFormat="false" ht="15.75" hidden="false" customHeight="true" outlineLevel="0" collapsed="false">
      <c r="A28" s="2"/>
      <c r="B28" s="2"/>
    </row>
    <row r="29" customFormat="false" ht="15.75" hidden="false" customHeight="true" outlineLevel="0" collapsed="false">
      <c r="A29" s="2"/>
      <c r="B29" s="2"/>
    </row>
    <row r="30" customFormat="false" ht="15.75" hidden="false" customHeight="true" outlineLevel="0" collapsed="false">
      <c r="A30" s="2"/>
      <c r="B30" s="2"/>
    </row>
    <row r="31" customFormat="false" ht="15.75" hidden="false" customHeight="true" outlineLevel="0" collapsed="false">
      <c r="A31" s="2"/>
      <c r="B31" s="2"/>
    </row>
    <row r="32" customFormat="false" ht="15.75" hidden="false" customHeight="true" outlineLevel="0" collapsed="false">
      <c r="A32" s="2"/>
      <c r="B32" s="2"/>
    </row>
    <row r="33" customFormat="false" ht="15.75" hidden="false" customHeight="true" outlineLevel="0" collapsed="false">
      <c r="A33" s="2"/>
      <c r="B33" s="2"/>
    </row>
    <row r="34" customFormat="false" ht="15.75" hidden="false" customHeight="true" outlineLevel="0" collapsed="false">
      <c r="A34" s="2"/>
      <c r="B34" s="2"/>
    </row>
    <row r="35" customFormat="false" ht="15.75" hidden="false" customHeight="true" outlineLevel="0" collapsed="false">
      <c r="A35" s="2"/>
      <c r="B35" s="2"/>
    </row>
    <row r="36" customFormat="false" ht="15.75" hidden="false" customHeight="true" outlineLevel="0" collapsed="false">
      <c r="A36" s="2"/>
      <c r="B36" s="2"/>
    </row>
    <row r="37" customFormat="false" ht="15.75" hidden="false" customHeight="true" outlineLevel="0" collapsed="false">
      <c r="A37" s="2"/>
      <c r="B37" s="2"/>
    </row>
    <row r="38" customFormat="false" ht="15.75" hidden="false" customHeight="true" outlineLevel="0" collapsed="false">
      <c r="A38" s="2"/>
      <c r="B38" s="10" t="s">
        <v>8</v>
      </c>
    </row>
    <row r="39" customFormat="false" ht="15.75" hidden="false" customHeight="true" outlineLevel="0" collapsed="false">
      <c r="A39" s="2"/>
      <c r="B39" s="10" t="s">
        <v>9</v>
      </c>
    </row>
    <row r="40" customFormat="false" ht="15" hidden="false" customHeight="true" outlineLevel="0" collapsed="false">
      <c r="A40" s="2"/>
      <c r="B40" s="2"/>
    </row>
    <row r="41" customFormat="false" ht="15" hidden="false" customHeight="true" outlineLevel="0" collapsed="false">
      <c r="A41" s="2"/>
      <c r="B41" s="2"/>
    </row>
    <row r="42" customFormat="false" ht="15" hidden="false" customHeight="true" outlineLevel="0" collapsed="false">
      <c r="A42" s="2"/>
      <c r="B42" s="2"/>
    </row>
    <row r="43" customFormat="false" ht="15" hidden="false" customHeight="true" outlineLevel="0" collapsed="false">
      <c r="A43" s="2"/>
      <c r="B4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0"/>
    <col collapsed="false" customWidth="true" hidden="false" outlineLevel="0" max="3" min="3" style="1" width="64"/>
  </cols>
  <sheetData>
    <row r="1" customFormat="false" ht="15" hidden="false" customHeight="true" outlineLevel="0" collapsed="false">
      <c r="A1" s="11" t="s">
        <v>10</v>
      </c>
    </row>
    <row r="2" customFormat="false" ht="19.5" hidden="false" customHeight="true" outlineLevel="0" collapsed="false">
      <c r="A2" s="12" t="s">
        <v>11</v>
      </c>
    </row>
    <row r="3" customFormat="false" ht="25.5" hidden="false" customHeight="true" outlineLevel="0" collapsed="false">
      <c r="A3" s="13" t="s">
        <v>12</v>
      </c>
    </row>
    <row r="5" customFormat="false" ht="15" hidden="false" customHeight="true" outlineLevel="0" collapsed="false">
      <c r="A5" s="14" t="s">
        <v>13</v>
      </c>
    </row>
    <row r="6" customFormat="false" ht="15" hidden="false" customHeight="true" outlineLevel="0" collapsed="false">
      <c r="A6" s="15" t="s">
        <v>14</v>
      </c>
    </row>
    <row r="7" customFormat="false" ht="15" hidden="false" customHeight="true" outlineLevel="0" collapsed="false">
      <c r="A7" s="16" t="s">
        <v>15</v>
      </c>
    </row>
    <row r="8" customFormat="false" ht="15" hidden="false" customHeight="true" outlineLevel="0" collapsed="false">
      <c r="A8" s="17" t="s">
        <v>16</v>
      </c>
    </row>
    <row r="9" customFormat="false" ht="15" hidden="false" customHeight="true" outlineLevel="0" collapsed="false">
      <c r="A9" s="18" t="s">
        <v>17</v>
      </c>
    </row>
    <row r="11" customFormat="false" ht="15" hidden="false" customHeight="true" outlineLevel="0" collapsed="false">
      <c r="A11" s="14" t="s">
        <v>18</v>
      </c>
    </row>
    <row r="12" customFormat="false" ht="15" hidden="false" customHeight="true" outlineLevel="0" collapsed="false">
      <c r="A12" s="19" t="s">
        <v>19</v>
      </c>
    </row>
    <row r="13" customFormat="false" ht="15" hidden="false" customHeight="true" outlineLevel="0" collapsed="false">
      <c r="A13" s="19" t="s">
        <v>20</v>
      </c>
    </row>
    <row r="14" customFormat="false" ht="15" hidden="false" customHeight="true" outlineLevel="0" collapsed="false">
      <c r="A14" s="19" t="s">
        <v>21</v>
      </c>
    </row>
    <row r="15" customFormat="false" ht="15" hidden="false" customHeight="true" outlineLevel="0" collapsed="false">
      <c r="A15" s="19" t="s">
        <v>22</v>
      </c>
    </row>
    <row r="16" customFormat="false" ht="15" hidden="false" customHeight="true" outlineLevel="0" collapsed="false">
      <c r="A16" s="19" t="s">
        <v>23</v>
      </c>
    </row>
    <row r="18" customFormat="false" ht="15" hidden="false" customHeight="true" outlineLevel="0" collapsed="false">
      <c r="A18" s="14" t="s">
        <v>24</v>
      </c>
    </row>
    <row r="19" customFormat="false" ht="15" hidden="false" customHeight="true" outlineLevel="0" collapsed="false">
      <c r="A19" s="20" t="s">
        <v>25</v>
      </c>
      <c r="C19" s="18" t="s">
        <v>26</v>
      </c>
    </row>
    <row r="20" customFormat="false" ht="15" hidden="false" customHeight="true" outlineLevel="0" collapsed="false">
      <c r="A20" s="20" t="s">
        <v>27</v>
      </c>
      <c r="C20" s="18" t="s">
        <v>28</v>
      </c>
    </row>
    <row r="21" customFormat="false" ht="15" hidden="false" customHeight="true" outlineLevel="0" collapsed="false">
      <c r="A21" s="20" t="s">
        <v>29</v>
      </c>
      <c r="C21" s="18" t="s">
        <v>30</v>
      </c>
    </row>
    <row r="22" customFormat="false" ht="15" hidden="false" customHeight="true" outlineLevel="0" collapsed="false">
      <c r="A22" s="20" t="s">
        <v>31</v>
      </c>
      <c r="C22" s="18" t="s">
        <v>32</v>
      </c>
    </row>
    <row r="23" customFormat="false" ht="15" hidden="false" customHeight="true" outlineLevel="0" collapsed="false">
      <c r="A23" s="20" t="s">
        <v>33</v>
      </c>
      <c r="C23" s="18" t="s">
        <v>34</v>
      </c>
    </row>
    <row r="24" customFormat="false" ht="15" hidden="false" customHeight="true" outlineLevel="0" collapsed="false">
      <c r="A24" s="20" t="s">
        <v>35</v>
      </c>
      <c r="C24" s="18" t="s">
        <v>36</v>
      </c>
    </row>
    <row r="25" customFormat="false" ht="15" hidden="false" customHeight="true" outlineLevel="0" collapsed="false">
      <c r="A25" s="20" t="s">
        <v>37</v>
      </c>
      <c r="C25" s="18" t="s">
        <v>38</v>
      </c>
    </row>
    <row r="26" customFormat="false" ht="15" hidden="false" customHeight="true" outlineLevel="0" collapsed="false">
      <c r="A26" s="20" t="s">
        <v>39</v>
      </c>
      <c r="C26" s="18" t="s">
        <v>40</v>
      </c>
    </row>
    <row r="27" customFormat="false" ht="15" hidden="false" customHeight="true" outlineLevel="0" collapsed="false">
      <c r="A27" s="20" t="s">
        <v>41</v>
      </c>
      <c r="C27" s="18" t="s">
        <v>42</v>
      </c>
    </row>
    <row r="28" customFormat="false" ht="15" hidden="false" customHeight="true" outlineLevel="0" collapsed="false">
      <c r="A28" s="20" t="s">
        <v>43</v>
      </c>
      <c r="C28" s="18" t="s">
        <v>44</v>
      </c>
    </row>
    <row r="29" customFormat="false" ht="15" hidden="false" customHeight="true" outlineLevel="0" collapsed="false">
      <c r="A29" s="20" t="s">
        <v>45</v>
      </c>
      <c r="C29" s="18" t="s">
        <v>46</v>
      </c>
    </row>
    <row r="30" customFormat="false" ht="15" hidden="false" customHeight="true" outlineLevel="0" collapsed="false">
      <c r="A30" s="20" t="s">
        <v>47</v>
      </c>
      <c r="C30" s="18" t="s">
        <v>48</v>
      </c>
    </row>
    <row r="31" customFormat="false" ht="15" hidden="false" customHeight="true" outlineLevel="0" collapsed="false">
      <c r="A31" s="20" t="s">
        <v>49</v>
      </c>
      <c r="C31" s="18" t="s">
        <v>50</v>
      </c>
    </row>
    <row r="32" customFormat="false" ht="15" hidden="false" customHeight="true" outlineLevel="0" collapsed="false">
      <c r="A32" s="20" t="s">
        <v>51</v>
      </c>
      <c r="C32" s="18" t="s">
        <v>52</v>
      </c>
    </row>
    <row r="33" customFormat="false" ht="15" hidden="false" customHeight="true" outlineLevel="0" collapsed="false">
      <c r="A33" s="20" t="s">
        <v>53</v>
      </c>
      <c r="C33" s="18" t="s">
        <v>54</v>
      </c>
    </row>
    <row r="34" customFormat="false" ht="15" hidden="false" customHeight="true" outlineLevel="0" collapsed="false">
      <c r="A34" s="20" t="s">
        <v>55</v>
      </c>
      <c r="C34" s="18" t="s">
        <v>56</v>
      </c>
    </row>
    <row r="35" customFormat="false" ht="15" hidden="false" customHeight="true" outlineLevel="0" collapsed="false">
      <c r="A35" s="20" t="s">
        <v>57</v>
      </c>
      <c r="C35" s="18" t="s">
        <v>58</v>
      </c>
    </row>
    <row r="37" customFormat="false" ht="15" hidden="false" customHeight="true" outlineLevel="0" collapsed="false">
      <c r="A37" s="18" t="s">
        <v>59</v>
      </c>
    </row>
  </sheetData>
  <hyperlinks>
    <hyperlink ref="A19" r:id="rId1" location="'1.%20SNAPSHOT'!A1" display="1. SNAPSHOT"/>
    <hyperlink ref="A20" r:id="rId2" location="'2.%20CREDIT%20PROFILE'!A1" display="2. CREDIT PROFILE"/>
    <hyperlink ref="A21" r:id="rId3" location="'3.%20CARD%20AUDIT'!A1" display="3. CARD AUDIT"/>
    <hyperlink ref="A22" r:id="rId4" location="'4.%20SPENDING'!A1" display="4. SPENDING"/>
    <hyperlink ref="A23" r:id="rId5" location="'5.%20REWARDS%20STRATEGY'!A1" display="5. REWARDS STRATEGY"/>
    <hyperlink ref="A24" r:id="rId6" location="'6.%20PORTFOLIO'!A1" display="6. PORTFOLIO"/>
    <hyperlink ref="A25" r:id="rId7" location="'7.%20BONUS%20TRACKER'!A1" display="7. BONUS TRACKER"/>
    <hyperlink ref="A26" r:id="rId8" location="'8.%20APPLICATIONS'!A1" display="8. APPLICATIONS"/>
    <hyperlink ref="A27" r:id="rId9" location="'9.%20FEE%20ANALYSIS'!A1" display="9. FEE ANALYSIS"/>
    <hyperlink ref="A28" r:id="rId10" location="'10.%20WALLET%20STRATEGY'!A1" display="10. WALLET STRATEGY"/>
    <hyperlink ref="A29" r:id="rId11" location="'11.%20POINTS%20VALUE'!A1" display="11. POINTS VALUE"/>
    <hyperlink ref="A30" r:id="rId12" location="'12.%20TRAVEL'!A1" display="12. TRAVEL"/>
    <hyperlink ref="A31" r:id="rId13" location="'13.%2012-MONTH%20PLAN'!A1" display="13. 12-MONTH PLAN"/>
    <hyperlink ref="A32" r:id="rId14" location="'14.%20LONG-TERM'!A1" display="14. LONG-TERM"/>
    <hyperlink ref="A33" r:id="rId15" location="'RULES%20&amp;%20SAFETY'!A1" display="RULES &amp; SAFETY"/>
    <hyperlink ref="A34" r:id="rId16" location="'CARD%20DATABASE'!A1" display="CARD DATABASE"/>
    <hyperlink ref="A35" r:id="rId17" location="'MY%20STRATEGY'!A1" display="MY STRATEG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6"/>
    <col collapsed="false" customWidth="true" hidden="false" outlineLevel="0" max="4" min="4" style="1" width="52"/>
  </cols>
  <sheetData>
    <row r="1" customFormat="false" ht="15" hidden="false" customHeight="true" outlineLevel="0" collapsed="false">
      <c r="A1" s="11" t="s">
        <v>10</v>
      </c>
    </row>
    <row r="2" customFormat="false" ht="19.5" hidden="false" customHeight="true" outlineLevel="0" collapsed="false">
      <c r="A2" s="12" t="s">
        <v>60</v>
      </c>
    </row>
    <row r="3" customFormat="false" ht="25.5" hidden="false" customHeight="true" outlineLevel="0" collapsed="false">
      <c r="A3" s="13" t="s">
        <v>61</v>
      </c>
    </row>
    <row r="5" customFormat="false" ht="27.75" hidden="false" customHeight="true" outlineLevel="0" collapsed="false">
      <c r="A5" s="21" t="s">
        <v>62</v>
      </c>
      <c r="B5" s="21" t="s">
        <v>63</v>
      </c>
      <c r="C5" s="21" t="s">
        <v>64</v>
      </c>
      <c r="D5" s="21" t="s">
        <v>65</v>
      </c>
    </row>
    <row r="6" customFormat="false" ht="15" hidden="false" customHeight="true" outlineLevel="0" collapsed="false">
      <c r="A6" s="22" t="s">
        <v>66</v>
      </c>
      <c r="B6" s="23" t="n">
        <v>6250</v>
      </c>
      <c r="C6" s="24" t="n">
        <f aca="false">IF(B6="","",B6*12)</f>
        <v>75000</v>
      </c>
      <c r="D6" s="25" t="s">
        <v>67</v>
      </c>
    </row>
    <row r="7" customFormat="false" ht="15" hidden="false" customHeight="true" outlineLevel="0" collapsed="false">
      <c r="A7" s="22" t="s">
        <v>68</v>
      </c>
      <c r="B7" s="23" t="n">
        <v>4900</v>
      </c>
      <c r="C7" s="24" t="n">
        <f aca="false">IF(B7="","",B7*12)</f>
        <v>58800</v>
      </c>
      <c r="D7" s="25" t="s">
        <v>69</v>
      </c>
    </row>
    <row r="8" customFormat="false" ht="23.25" hidden="false" customHeight="true" outlineLevel="0" collapsed="false">
      <c r="A8" s="22" t="s">
        <v>70</v>
      </c>
      <c r="B8" s="23" t="n">
        <v>2300</v>
      </c>
      <c r="C8" s="24" t="n">
        <f aca="false">IF(B8="","",B8*12)</f>
        <v>27600</v>
      </c>
      <c r="D8" s="25" t="s">
        <v>71</v>
      </c>
    </row>
    <row r="9" customFormat="false" ht="15" hidden="false" customHeight="true" outlineLevel="0" collapsed="false">
      <c r="A9" s="22" t="s">
        <v>72</v>
      </c>
      <c r="B9" s="23" t="n">
        <v>1350</v>
      </c>
      <c r="C9" s="24" t="n">
        <f aca="false">IF(B9="","",B9*12)</f>
        <v>16200</v>
      </c>
      <c r="D9" s="25" t="s">
        <v>73</v>
      </c>
    </row>
    <row r="10" customFormat="false" ht="15" hidden="false" customHeight="true" outlineLevel="0" collapsed="false">
      <c r="A10" s="22" t="s">
        <v>74</v>
      </c>
      <c r="B10" s="23" t="n">
        <v>350</v>
      </c>
      <c r="C10" s="24" t="n">
        <f aca="false">IF(B10="","",B10*12)</f>
        <v>4200</v>
      </c>
      <c r="D10" s="25" t="s">
        <v>75</v>
      </c>
    </row>
    <row r="11" customFormat="false" ht="23.25" hidden="false" customHeight="true" outlineLevel="0" collapsed="false">
      <c r="A11" s="22" t="s">
        <v>76</v>
      </c>
      <c r="B11" s="24" t="n">
        <f aca="false">IF(B7="","",B7-B8-B9-B10)</f>
        <v>900</v>
      </c>
      <c r="C11" s="24" t="n">
        <f aca="false">IF(B11="","",B11*12)</f>
        <v>10800</v>
      </c>
      <c r="D11" s="25" t="s">
        <v>77</v>
      </c>
    </row>
    <row r="13" customFormat="false" ht="27.75" hidden="false" customHeight="true" outlineLevel="0" collapsed="false">
      <c r="A13" s="21" t="s">
        <v>78</v>
      </c>
      <c r="B13" s="21" t="s">
        <v>79</v>
      </c>
      <c r="C13" s="21"/>
      <c r="D13" s="21" t="s">
        <v>65</v>
      </c>
    </row>
    <row r="14" customFormat="false" ht="15" hidden="false" customHeight="true" outlineLevel="0" collapsed="false">
      <c r="A14" s="22" t="s">
        <v>80</v>
      </c>
      <c r="B14" s="26" t="n">
        <v>9500</v>
      </c>
      <c r="D14" s="25" t="s">
        <v>81</v>
      </c>
    </row>
    <row r="15" customFormat="false" ht="15" hidden="false" customHeight="true" outlineLevel="0" collapsed="false">
      <c r="A15" s="22" t="s">
        <v>82</v>
      </c>
      <c r="B15" s="23" t="n">
        <v>6000</v>
      </c>
      <c r="D15" s="25" t="s">
        <v>83</v>
      </c>
    </row>
    <row r="16" customFormat="false" ht="15" hidden="false" customHeight="true" outlineLevel="0" collapsed="false">
      <c r="A16" s="22" t="s">
        <v>84</v>
      </c>
      <c r="B16" s="26" t="n">
        <v>4200</v>
      </c>
      <c r="D16" s="25" t="s">
        <v>85</v>
      </c>
    </row>
    <row r="17" customFormat="false" ht="15" hidden="false" customHeight="true" outlineLevel="0" collapsed="false">
      <c r="A17" s="22" t="s">
        <v>86</v>
      </c>
      <c r="B17" s="27" t="n">
        <v>735</v>
      </c>
      <c r="D17" s="25" t="s">
        <v>87</v>
      </c>
    </row>
    <row r="18" customFormat="false" ht="15" hidden="false" customHeight="true" outlineLevel="0" collapsed="false">
      <c r="A18" s="22" t="s">
        <v>88</v>
      </c>
      <c r="B18" s="27" t="n">
        <v>3</v>
      </c>
      <c r="D18" s="25" t="s">
        <v>89</v>
      </c>
    </row>
    <row r="19" customFormat="false" ht="15" hidden="false" customHeight="true" outlineLevel="0" collapsed="false">
      <c r="A19" s="22" t="s">
        <v>90</v>
      </c>
      <c r="B19" s="26" t="n">
        <v>420</v>
      </c>
      <c r="D19" s="25" t="s">
        <v>91</v>
      </c>
    </row>
    <row r="20" customFormat="false" ht="23.25" hidden="false" customHeight="true" outlineLevel="0" collapsed="false">
      <c r="A20" s="22" t="s">
        <v>92</v>
      </c>
      <c r="B20" s="26" t="n">
        <v>300</v>
      </c>
      <c r="D20" s="25" t="s">
        <v>93</v>
      </c>
    </row>
    <row r="21" customFormat="false" ht="23.25" hidden="false" customHeight="true" outlineLevel="0" collapsed="false">
      <c r="A21" s="22" t="s">
        <v>94</v>
      </c>
      <c r="B21" s="28" t="n">
        <f aca="false">IF(OR(B15="",B8=""),"",ROUND(B15/MAX(1,B8),1))</f>
        <v>2.6</v>
      </c>
      <c r="D21" s="25" t="s">
        <v>95</v>
      </c>
    </row>
    <row r="22" customFormat="false" ht="15" hidden="false" customHeight="true" outlineLevel="0" collapsed="false">
      <c r="A22" s="22" t="s">
        <v>96</v>
      </c>
      <c r="B22" s="29" t="n">
        <f aca="false">IF(OR(B10="",B7=""),"",B10/MAX(1,B7))</f>
        <v>0.0714285714285714</v>
      </c>
      <c r="D22" s="25" t="s">
        <v>97</v>
      </c>
    </row>
    <row r="24" customFormat="false" ht="15" hidden="false" customHeight="true" outlineLevel="0" collapsed="false">
      <c r="A24" s="14" t="s">
        <v>98</v>
      </c>
    </row>
    <row r="25" customFormat="false" ht="24" hidden="false" customHeight="true" outlineLevel="0" collapsed="false">
      <c r="A25" s="30" t="s">
        <v>99</v>
      </c>
      <c r="B25" s="31"/>
      <c r="C25" s="31"/>
      <c r="D25" s="31"/>
    </row>
    <row r="26" customFormat="false" ht="24" hidden="false" customHeight="true" outlineLevel="0" collapsed="false">
      <c r="A26" s="30" t="s">
        <v>100</v>
      </c>
      <c r="B26" s="31"/>
      <c r="C26" s="31"/>
      <c r="D26" s="31"/>
    </row>
    <row r="27" customFormat="false" ht="24" hidden="false" customHeight="true" outlineLevel="0" collapsed="false">
      <c r="A27" s="30" t="s">
        <v>101</v>
      </c>
      <c r="B27" s="31"/>
      <c r="C27" s="31"/>
      <c r="D27" s="31"/>
    </row>
  </sheetData>
  <mergeCells count="3">
    <mergeCell ref="B25:D25"/>
    <mergeCell ref="B26:D26"/>
    <mergeCell ref="B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60"/>
  </cols>
  <sheetData>
    <row r="1" customFormat="false" ht="15" hidden="false" customHeight="true" outlineLevel="0" collapsed="false">
      <c r="A1" s="11" t="s">
        <v>10</v>
      </c>
    </row>
    <row r="2" customFormat="false" ht="19.5" hidden="false" customHeight="true" outlineLevel="0" collapsed="false">
      <c r="A2" s="12" t="s">
        <v>102</v>
      </c>
    </row>
    <row r="3" customFormat="false" ht="25.5" hidden="false" customHeight="true" outlineLevel="0" collapsed="false">
      <c r="A3" s="13" t="s">
        <v>103</v>
      </c>
    </row>
    <row r="5" customFormat="false" ht="27.75" hidden="false" customHeight="true" outlineLevel="0" collapsed="false">
      <c r="A5" s="21" t="s">
        <v>104</v>
      </c>
      <c r="B5" s="21" t="s">
        <v>105</v>
      </c>
      <c r="C5" s="21" t="s">
        <v>106</v>
      </c>
    </row>
    <row r="6" customFormat="false" ht="30" hidden="false" customHeight="true" outlineLevel="0" collapsed="false">
      <c r="A6" s="22" t="s">
        <v>107</v>
      </c>
      <c r="B6" s="31" t="n">
        <v>735</v>
      </c>
      <c r="C6" s="25" t="s">
        <v>108</v>
      </c>
    </row>
    <row r="7" customFormat="false" ht="30" hidden="false" customHeight="true" outlineLevel="0" collapsed="false">
      <c r="A7" s="22" t="s">
        <v>109</v>
      </c>
      <c r="B7" s="32" t="n">
        <f aca="false">IF('3. CARD AUDIT'!C18=0,"",'3. CARD AUDIT'!D18/'3. CARD AUDIT'!C18)</f>
        <v>0.085</v>
      </c>
      <c r="C7" s="25" t="s">
        <v>110</v>
      </c>
    </row>
    <row r="8" customFormat="false" ht="30" hidden="false" customHeight="true" outlineLevel="0" collapsed="false">
      <c r="A8" s="22" t="s">
        <v>111</v>
      </c>
      <c r="B8" s="31" t="n">
        <v>3</v>
      </c>
      <c r="C8" s="25" t="s">
        <v>112</v>
      </c>
    </row>
    <row r="9" customFormat="false" ht="30" hidden="false" customHeight="true" outlineLevel="0" collapsed="false">
      <c r="A9" s="22" t="s">
        <v>113</v>
      </c>
      <c r="B9" s="31" t="n">
        <v>3.5</v>
      </c>
      <c r="C9" s="25" t="s">
        <v>114</v>
      </c>
    </row>
    <row r="10" customFormat="false" ht="30" hidden="false" customHeight="true" outlineLevel="0" collapsed="false">
      <c r="A10" s="22" t="s">
        <v>115</v>
      </c>
      <c r="B10" s="31" t="n">
        <v>6</v>
      </c>
      <c r="C10" s="25" t="s">
        <v>116</v>
      </c>
    </row>
    <row r="11" customFormat="false" ht="30" hidden="false" customHeight="true" outlineLevel="0" collapsed="false">
      <c r="A11" s="22" t="s">
        <v>117</v>
      </c>
      <c r="B11" s="31" t="n">
        <v>1</v>
      </c>
      <c r="C11" s="25" t="s">
        <v>118</v>
      </c>
    </row>
    <row r="12" customFormat="false" ht="30" hidden="false" customHeight="true" outlineLevel="0" collapsed="false">
      <c r="A12" s="22" t="s">
        <v>119</v>
      </c>
      <c r="B12" s="31" t="n">
        <v>1</v>
      </c>
      <c r="C12" s="25" t="s">
        <v>120</v>
      </c>
    </row>
    <row r="13" customFormat="false" ht="30" hidden="false" customHeight="true" outlineLevel="0" collapsed="false">
      <c r="A13" s="22" t="s">
        <v>121</v>
      </c>
      <c r="B13" s="31" t="n">
        <v>0</v>
      </c>
      <c r="C13" s="25" t="s">
        <v>122</v>
      </c>
    </row>
    <row r="14" customFormat="false" ht="30" hidden="false" customHeight="true" outlineLevel="0" collapsed="false">
      <c r="A14" s="22" t="s">
        <v>123</v>
      </c>
      <c r="B14" s="33" t="n">
        <f aca="false">IF('3. CARD AUDIT'!C18=0,"",'3. CARD AUDIT'!C18)</f>
        <v>10000</v>
      </c>
      <c r="C14" s="25" t="s">
        <v>124</v>
      </c>
    </row>
    <row r="15" customFormat="false" ht="30" hidden="false" customHeight="true" outlineLevel="0" collapsed="false">
      <c r="A15" s="22" t="s">
        <v>125</v>
      </c>
      <c r="B15" s="33" t="n">
        <f aca="false">IF('3. CARD AUDIT'!C18=0,"",'3. CARD AUDIT'!D18)</f>
        <v>850</v>
      </c>
      <c r="C15" s="25" t="s">
        <v>126</v>
      </c>
    </row>
    <row r="17" customFormat="false" ht="15" hidden="false" customHeight="true" outlineLevel="0" collapsed="false">
      <c r="A17" s="14" t="s">
        <v>127</v>
      </c>
    </row>
    <row r="18" customFormat="false" ht="15" hidden="false" customHeight="true" outlineLevel="0" collapsed="false">
      <c r="A18" s="30" t="s">
        <v>128</v>
      </c>
      <c r="B18" s="31"/>
    </row>
    <row r="19" customFormat="false" ht="15" hidden="false" customHeight="true" outlineLevel="0" collapsed="false">
      <c r="A19" s="30" t="s">
        <v>129</v>
      </c>
      <c r="B19" s="31"/>
    </row>
    <row r="20" customFormat="false" ht="15" hidden="false" customHeight="true" outlineLevel="0" collapsed="false">
      <c r="A20" s="30" t="s">
        <v>130</v>
      </c>
      <c r="B20" s="31"/>
    </row>
    <row r="21" customFormat="false" ht="23.25" hidden="false" customHeight="true" outlineLevel="0" collapsed="false">
      <c r="A21" s="30" t="s">
        <v>131</v>
      </c>
      <c r="B21" s="31"/>
    </row>
    <row r="22" customFormat="false" ht="15" hidden="false" customHeight="true" outlineLevel="0" collapsed="false">
      <c r="A22" s="30" t="s">
        <v>132</v>
      </c>
      <c r="B22" s="31"/>
    </row>
    <row r="23" customFormat="false" ht="23.25" hidden="false" customHeight="true" outlineLevel="0" collapsed="false">
      <c r="A23" s="30" t="s">
        <v>133</v>
      </c>
      <c r="B23" s="31"/>
    </row>
  </sheetData>
  <dataValidations count="1">
    <dataValidation allowBlank="true" errorStyle="stop" operator="between" showDropDown="false" showErrorMessage="false" showInputMessage="false" sqref="B18:B23" type="list">
      <formula1>"Done,Working on it,Not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3"/>
    <col collapsed="false" customWidth="true" hidden="false" outlineLevel="0" max="4" min="3" style="1" width="11"/>
    <col collapsed="false" customWidth="true" hidden="false" outlineLevel="0" max="5" min="5" style="1" width="9"/>
    <col collapsed="false" customWidth="true" hidden="false" outlineLevel="0" max="6" min="6" style="1" width="10"/>
    <col collapsed="false" customWidth="true" hidden="false" outlineLevel="0" max="8" min="7" style="1" width="11"/>
    <col collapsed="false" customWidth="true" hidden="false" outlineLevel="0" max="9" min="9" style="1" width="14"/>
    <col collapsed="false" customWidth="true" hidden="false" outlineLevel="0" max="10" min="10" style="1" width="26"/>
    <col collapsed="false" customWidth="true" hidden="false" outlineLevel="0" max="11" min="11" style="1" width="22"/>
    <col collapsed="false" customWidth="true" hidden="false" outlineLevel="0" max="12" min="12" style="1" width="13"/>
    <col collapsed="false" customWidth="true" hidden="false" outlineLevel="0" max="13" min="13" style="1" width="15"/>
    <col collapsed="false" customWidth="true" hidden="false" outlineLevel="0" max="14" min="14" style="1" width="42"/>
  </cols>
  <sheetData>
    <row r="1" customFormat="false" ht="15" hidden="false" customHeight="true" outlineLevel="0" collapsed="false">
      <c r="A1" s="11" t="s">
        <v>10</v>
      </c>
    </row>
    <row r="2" customFormat="false" ht="19.5" hidden="false" customHeight="true" outlineLevel="0" collapsed="false">
      <c r="A2" s="12" t="s">
        <v>134</v>
      </c>
    </row>
    <row r="3" customFormat="false" ht="25.5" hidden="false" customHeight="true" outlineLevel="0" collapsed="false">
      <c r="A3" s="13" t="s">
        <v>135</v>
      </c>
    </row>
    <row r="5" customFormat="false" ht="27.75" hidden="false" customHeight="true" outlineLevel="0" collapsed="false">
      <c r="A5" s="21" t="s">
        <v>136</v>
      </c>
      <c r="B5" s="21" t="s">
        <v>137</v>
      </c>
      <c r="C5" s="21" t="s">
        <v>138</v>
      </c>
      <c r="D5" s="21" t="s">
        <v>139</v>
      </c>
      <c r="E5" s="21" t="s">
        <v>140</v>
      </c>
      <c r="F5" s="21" t="s">
        <v>141</v>
      </c>
      <c r="G5" s="21" t="s">
        <v>142</v>
      </c>
      <c r="H5" s="21" t="s">
        <v>143</v>
      </c>
      <c r="I5" s="21" t="s">
        <v>144</v>
      </c>
      <c r="J5" s="21" t="s">
        <v>145</v>
      </c>
      <c r="K5" s="21" t="s">
        <v>146</v>
      </c>
      <c r="L5" s="21" t="s">
        <v>147</v>
      </c>
      <c r="M5" s="21" t="s">
        <v>148</v>
      </c>
      <c r="N5" s="21" t="s">
        <v>149</v>
      </c>
    </row>
    <row r="6" customFormat="false" ht="23.25" hidden="false" customHeight="true" outlineLevel="0" collapsed="false">
      <c r="A6" s="34" t="s">
        <v>150</v>
      </c>
      <c r="B6" s="35" t="str">
        <f aca="false">IF(A6="","",IFERROR(INDEX('CARD DATABASE'!$B$5:$B$34,MATCH(A6,'CARD DATABASE'!$A$5:$A$34,0)),"—"))</f>
        <v>Amex</v>
      </c>
      <c r="C6" s="26" t="n">
        <v>10000</v>
      </c>
      <c r="D6" s="26" t="n">
        <v>850</v>
      </c>
      <c r="E6" s="36" t="n">
        <v>29.24</v>
      </c>
      <c r="F6" s="26" t="n">
        <v>325</v>
      </c>
      <c r="G6" s="31" t="s">
        <v>151</v>
      </c>
      <c r="H6" s="29" t="n">
        <f aca="false">IF(OR(C6="",C6=0),"",D6/C6)</f>
        <v>0.085</v>
      </c>
      <c r="I6" s="31" t="s">
        <v>152</v>
      </c>
      <c r="J6" s="31" t="s">
        <v>153</v>
      </c>
      <c r="K6" s="31" t="s">
        <v>154</v>
      </c>
      <c r="L6" s="31" t="s">
        <v>155</v>
      </c>
      <c r="M6" s="31" t="s">
        <v>156</v>
      </c>
      <c r="N6" s="31" t="s">
        <v>157</v>
      </c>
    </row>
    <row r="7" customFormat="false" ht="15" hidden="false" customHeight="true" outlineLevel="0" collapsed="false">
      <c r="A7" s="34"/>
      <c r="B7" s="35" t="str">
        <f aca="false">IF(A7="","",IFERROR(INDEX('CARD DATABASE'!$B$5:$B$34,MATCH(A7,'CARD DATABASE'!$A$5:$A$34,0)),"—"))</f>
        <v/>
      </c>
      <c r="C7" s="26"/>
      <c r="D7" s="26"/>
      <c r="E7" s="36"/>
      <c r="F7" s="26"/>
      <c r="G7" s="31"/>
      <c r="H7" s="29" t="str">
        <f aca="false">IF(OR(C7="",C7=0),"",D7/C7)</f>
        <v/>
      </c>
      <c r="I7" s="31"/>
      <c r="J7" s="31"/>
      <c r="K7" s="31"/>
      <c r="L7" s="31"/>
      <c r="M7" s="31"/>
      <c r="N7" s="31"/>
    </row>
    <row r="8" customFormat="false" ht="15" hidden="false" customHeight="true" outlineLevel="0" collapsed="false">
      <c r="A8" s="34"/>
      <c r="B8" s="35" t="str">
        <f aca="false">IF(A8="","",IFERROR(INDEX('CARD DATABASE'!$B$5:$B$34,MATCH(A8,'CARD DATABASE'!$A$5:$A$34,0)),"—"))</f>
        <v/>
      </c>
      <c r="C8" s="26"/>
      <c r="D8" s="26"/>
      <c r="E8" s="36"/>
      <c r="F8" s="26"/>
      <c r="G8" s="31"/>
      <c r="H8" s="29" t="str">
        <f aca="false">IF(OR(C8="",C8=0),"",D8/C8)</f>
        <v/>
      </c>
      <c r="I8" s="31"/>
      <c r="J8" s="31"/>
      <c r="K8" s="31"/>
      <c r="L8" s="31"/>
      <c r="M8" s="31"/>
      <c r="N8" s="31"/>
    </row>
    <row r="9" customFormat="false" ht="15" hidden="false" customHeight="true" outlineLevel="0" collapsed="false">
      <c r="A9" s="34"/>
      <c r="B9" s="35" t="str">
        <f aca="false">IF(A9="","",IFERROR(INDEX('CARD DATABASE'!$B$5:$B$34,MATCH(A9,'CARD DATABASE'!$A$5:$A$34,0)),"—"))</f>
        <v/>
      </c>
      <c r="C9" s="26"/>
      <c r="D9" s="26"/>
      <c r="E9" s="36"/>
      <c r="F9" s="26"/>
      <c r="G9" s="31"/>
      <c r="H9" s="29" t="str">
        <f aca="false">IF(OR(C9="",C9=0),"",D9/C9)</f>
        <v/>
      </c>
      <c r="I9" s="31"/>
      <c r="J9" s="31"/>
      <c r="K9" s="31"/>
      <c r="L9" s="31"/>
      <c r="M9" s="31"/>
      <c r="N9" s="31"/>
    </row>
    <row r="10" customFormat="false" ht="15" hidden="false" customHeight="true" outlineLevel="0" collapsed="false">
      <c r="A10" s="34"/>
      <c r="B10" s="35" t="str">
        <f aca="false">IF(A10="","",IFERROR(INDEX('CARD DATABASE'!$B$5:$B$34,MATCH(A10,'CARD DATABASE'!$A$5:$A$34,0)),"—"))</f>
        <v/>
      </c>
      <c r="C10" s="26"/>
      <c r="D10" s="26"/>
      <c r="E10" s="36"/>
      <c r="F10" s="26"/>
      <c r="G10" s="31"/>
      <c r="H10" s="29" t="str">
        <f aca="false">IF(OR(C10="",C10=0),"",D10/C10)</f>
        <v/>
      </c>
      <c r="I10" s="31"/>
      <c r="J10" s="31"/>
      <c r="K10" s="31"/>
      <c r="L10" s="31"/>
      <c r="M10" s="31"/>
      <c r="N10" s="31"/>
    </row>
    <row r="11" customFormat="false" ht="15" hidden="false" customHeight="true" outlineLevel="0" collapsed="false">
      <c r="A11" s="34"/>
      <c r="B11" s="35" t="str">
        <f aca="false">IF(A11="","",IFERROR(INDEX('CARD DATABASE'!$B$5:$B$34,MATCH(A11,'CARD DATABASE'!$A$5:$A$34,0)),"—"))</f>
        <v/>
      </c>
      <c r="C11" s="26"/>
      <c r="D11" s="26"/>
      <c r="E11" s="36"/>
      <c r="F11" s="26"/>
      <c r="G11" s="31"/>
      <c r="H11" s="29" t="str">
        <f aca="false">IF(OR(C11="",C11=0),"",D11/C11)</f>
        <v/>
      </c>
      <c r="I11" s="31"/>
      <c r="J11" s="31"/>
      <c r="K11" s="31"/>
      <c r="L11" s="31"/>
      <c r="M11" s="31"/>
      <c r="N11" s="31"/>
    </row>
    <row r="12" customFormat="false" ht="15" hidden="false" customHeight="true" outlineLevel="0" collapsed="false">
      <c r="A12" s="34"/>
      <c r="B12" s="35" t="str">
        <f aca="false">IF(A12="","",IFERROR(INDEX('CARD DATABASE'!$B$5:$B$34,MATCH(A12,'CARD DATABASE'!$A$5:$A$34,0)),"—"))</f>
        <v/>
      </c>
      <c r="C12" s="26"/>
      <c r="D12" s="26"/>
      <c r="E12" s="36"/>
      <c r="F12" s="26"/>
      <c r="G12" s="31"/>
      <c r="H12" s="29" t="str">
        <f aca="false">IF(OR(C12="",C12=0),"",D12/C12)</f>
        <v/>
      </c>
      <c r="I12" s="31"/>
      <c r="J12" s="31"/>
      <c r="K12" s="31"/>
      <c r="L12" s="31"/>
      <c r="M12" s="31"/>
      <c r="N12" s="31"/>
    </row>
    <row r="13" customFormat="false" ht="15" hidden="false" customHeight="true" outlineLevel="0" collapsed="false">
      <c r="A13" s="34"/>
      <c r="B13" s="35" t="str">
        <f aca="false">IF(A13="","",IFERROR(INDEX('CARD DATABASE'!$B$5:$B$34,MATCH(A13,'CARD DATABASE'!$A$5:$A$34,0)),"—"))</f>
        <v/>
      </c>
      <c r="C13" s="26"/>
      <c r="D13" s="26"/>
      <c r="E13" s="36"/>
      <c r="F13" s="26"/>
      <c r="G13" s="31"/>
      <c r="H13" s="29" t="str">
        <f aca="false">IF(OR(C13="",C13=0),"",D13/C13)</f>
        <v/>
      </c>
      <c r="I13" s="31"/>
      <c r="J13" s="31"/>
      <c r="K13" s="31"/>
      <c r="L13" s="31"/>
      <c r="M13" s="31"/>
      <c r="N13" s="31"/>
    </row>
    <row r="14" customFormat="false" ht="15" hidden="false" customHeight="true" outlineLevel="0" collapsed="false">
      <c r="A14" s="34"/>
      <c r="B14" s="35" t="str">
        <f aca="false">IF(A14="","",IFERROR(INDEX('CARD DATABASE'!$B$5:$B$34,MATCH(A14,'CARD DATABASE'!$A$5:$A$34,0)),"—"))</f>
        <v/>
      </c>
      <c r="C14" s="26"/>
      <c r="D14" s="26"/>
      <c r="E14" s="36"/>
      <c r="F14" s="26"/>
      <c r="G14" s="31"/>
      <c r="H14" s="29" t="str">
        <f aca="false">IF(OR(C14="",C14=0),"",D14/C14)</f>
        <v/>
      </c>
      <c r="I14" s="31"/>
      <c r="J14" s="31"/>
      <c r="K14" s="31"/>
      <c r="L14" s="31"/>
      <c r="M14" s="31"/>
      <c r="N14" s="31"/>
    </row>
    <row r="15" customFormat="false" ht="15" hidden="false" customHeight="true" outlineLevel="0" collapsed="false">
      <c r="A15" s="34"/>
      <c r="B15" s="35" t="str">
        <f aca="false">IF(A15="","",IFERROR(INDEX('CARD DATABASE'!$B$5:$B$34,MATCH(A15,'CARD DATABASE'!$A$5:$A$34,0)),"—"))</f>
        <v/>
      </c>
      <c r="C15" s="26"/>
      <c r="D15" s="26"/>
      <c r="E15" s="36"/>
      <c r="F15" s="26"/>
      <c r="G15" s="31"/>
      <c r="H15" s="29" t="str">
        <f aca="false">IF(OR(C15="",C15=0),"",D15/C15)</f>
        <v/>
      </c>
      <c r="I15" s="31"/>
      <c r="J15" s="31"/>
      <c r="K15" s="31"/>
      <c r="L15" s="31"/>
      <c r="M15" s="31"/>
      <c r="N15" s="31"/>
    </row>
    <row r="16" customFormat="false" ht="15" hidden="false" customHeight="true" outlineLevel="0" collapsed="false">
      <c r="A16" s="34"/>
      <c r="B16" s="35" t="str">
        <f aca="false">IF(A16="","",IFERROR(INDEX('CARD DATABASE'!$B$5:$B$34,MATCH(A16,'CARD DATABASE'!$A$5:$A$34,0)),"—"))</f>
        <v/>
      </c>
      <c r="C16" s="26"/>
      <c r="D16" s="26"/>
      <c r="E16" s="36"/>
      <c r="F16" s="26"/>
      <c r="G16" s="31"/>
      <c r="H16" s="29" t="str">
        <f aca="false">IF(OR(C16="",C16=0),"",D16/C16)</f>
        <v/>
      </c>
      <c r="I16" s="31"/>
      <c r="J16" s="31"/>
      <c r="K16" s="31"/>
      <c r="L16" s="31"/>
      <c r="M16" s="31"/>
      <c r="N16" s="31"/>
    </row>
    <row r="17" customFormat="false" ht="15" hidden="false" customHeight="true" outlineLevel="0" collapsed="false">
      <c r="A17" s="34"/>
      <c r="B17" s="35" t="str">
        <f aca="false">IF(A17="","",IFERROR(INDEX('CARD DATABASE'!$B$5:$B$34,MATCH(A17,'CARD DATABASE'!$A$5:$A$34,0)),"—"))</f>
        <v/>
      </c>
      <c r="C17" s="26"/>
      <c r="D17" s="26"/>
      <c r="E17" s="36"/>
      <c r="F17" s="26"/>
      <c r="G17" s="31"/>
      <c r="H17" s="29" t="str">
        <f aca="false">IF(OR(C17="",C17=0),"",D17/C17)</f>
        <v/>
      </c>
      <c r="I17" s="31"/>
      <c r="J17" s="31"/>
      <c r="K17" s="31"/>
      <c r="L17" s="31"/>
      <c r="M17" s="31"/>
      <c r="N17" s="31"/>
    </row>
    <row r="18" customFormat="false" ht="15" hidden="false" customHeight="true" outlineLevel="0" collapsed="false">
      <c r="A18" s="37" t="s">
        <v>158</v>
      </c>
      <c r="B18" s="38"/>
      <c r="C18" s="39" t="n">
        <f aca="false">SUM(C6:C17)</f>
        <v>10000</v>
      </c>
      <c r="D18" s="39" t="n">
        <f aca="false">SUM(D6:D17)</f>
        <v>850</v>
      </c>
      <c r="E18" s="38"/>
      <c r="F18" s="39" t="n">
        <f aca="false">SUM(F6:F17)</f>
        <v>325</v>
      </c>
      <c r="G18" s="38"/>
      <c r="H18" s="40" t="n">
        <f aca="false">IF(C18=0,"",D18/C18)</f>
        <v>0.085</v>
      </c>
      <c r="I18" s="38"/>
      <c r="J18" s="38"/>
      <c r="K18" s="38"/>
      <c r="L18" s="38"/>
      <c r="M18" s="38"/>
      <c r="N18" s="38"/>
    </row>
    <row r="20" customFormat="false" ht="95.25" hidden="false" customHeight="true" outlineLevel="0" collapsed="false">
      <c r="A20" s="13" t="s">
        <v>159</v>
      </c>
    </row>
  </sheetData>
  <dataValidations count="3">
    <dataValidation allowBlank="true" errorStyle="stop" operator="between" showDropDown="false" showErrorMessage="false" showInputMessage="false" sqref="A6:A17" type="list">
      <formula1>'CARD DATABASE'!$A$5:$A$34</formula1>
      <formula2>0</formula2>
    </dataValidation>
    <dataValidation allowBlank="true" errorStyle="stop" operator="between" showDropDown="false" showErrorMessage="false" showInputMessage="false" sqref="L6:L17" type="list">
      <formula1>"Yes,No"</formula1>
      <formula2>0</formula2>
    </dataValidation>
    <dataValidation allowBlank="true" errorStyle="stop" operator="between" showDropDown="false" showErrorMessage="false" showInputMessage="false" sqref="M6:M17" type="list">
      <formula1>"Keep,Downgrade,Cancel,Undecided"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3"/>
    <col collapsed="false" customWidth="true" hidden="false" outlineLevel="0" max="4" min="4" style="1" width="11"/>
    <col collapsed="false" customWidth="true" hidden="false" outlineLevel="0" max="5" min="5" style="1" width="30"/>
    <col collapsed="false" customWidth="true" hidden="false" outlineLevel="0" max="6" min="6" style="1" width="44"/>
  </cols>
  <sheetData>
    <row r="1" customFormat="false" ht="15" hidden="false" customHeight="true" outlineLevel="0" collapsed="false">
      <c r="A1" s="11" t="s">
        <v>10</v>
      </c>
    </row>
    <row r="2" customFormat="false" ht="19.5" hidden="false" customHeight="true" outlineLevel="0" collapsed="false">
      <c r="A2" s="12" t="s">
        <v>160</v>
      </c>
    </row>
    <row r="3" customFormat="false" ht="25.5" hidden="false" customHeight="true" outlineLevel="0" collapsed="false">
      <c r="A3" s="13" t="s">
        <v>161</v>
      </c>
    </row>
    <row r="5" customFormat="false" ht="27.75" hidden="false" customHeight="true" outlineLevel="0" collapsed="false">
      <c r="A5" s="21" t="s">
        <v>162</v>
      </c>
      <c r="B5" s="21" t="s">
        <v>63</v>
      </c>
      <c r="C5" s="21" t="s">
        <v>64</v>
      </c>
      <c r="D5" s="21" t="s">
        <v>163</v>
      </c>
      <c r="E5" s="21" t="s">
        <v>164</v>
      </c>
      <c r="F5" s="21" t="s">
        <v>165</v>
      </c>
    </row>
    <row r="6" customFormat="false" ht="21.75" hidden="false" customHeight="true" outlineLevel="0" collapsed="false">
      <c r="A6" s="22" t="s">
        <v>166</v>
      </c>
      <c r="B6" s="23" t="n">
        <v>650</v>
      </c>
      <c r="C6" s="24" t="n">
        <f aca="false">IF(B6="","",B6*12)</f>
        <v>7800</v>
      </c>
      <c r="D6" s="29" t="n">
        <f aca="false">IF(OR(B6="",B$19=0),"",B6/B$19)</f>
        <v>0.15169194865811</v>
      </c>
      <c r="E6" s="31" t="s">
        <v>167</v>
      </c>
      <c r="F6" s="25" t="s">
        <v>168</v>
      </c>
    </row>
    <row r="7" customFormat="false" ht="15" hidden="false" customHeight="true" outlineLevel="0" collapsed="false">
      <c r="A7" s="22" t="s">
        <v>169</v>
      </c>
      <c r="B7" s="23" t="n">
        <v>420</v>
      </c>
      <c r="C7" s="24" t="n">
        <f aca="false">IF(B7="","",B7*12)</f>
        <v>5040</v>
      </c>
      <c r="D7" s="29" t="n">
        <f aca="false">IF(OR(B7="",B$19=0),"",B7/B$19)</f>
        <v>0.0980163360560093</v>
      </c>
      <c r="E7" s="31"/>
      <c r="F7" s="25" t="s">
        <v>170</v>
      </c>
    </row>
    <row r="8" customFormat="false" ht="15" hidden="false" customHeight="true" outlineLevel="0" collapsed="false">
      <c r="A8" s="22" t="s">
        <v>171</v>
      </c>
      <c r="B8" s="23" t="n">
        <v>180</v>
      </c>
      <c r="C8" s="24" t="n">
        <f aca="false">IF(B8="","",B8*12)</f>
        <v>2160</v>
      </c>
      <c r="D8" s="29" t="n">
        <f aca="false">IF(OR(B8="",B$19=0),"",B8/B$19)</f>
        <v>0.0420070011668611</v>
      </c>
      <c r="E8" s="31"/>
      <c r="F8" s="25" t="s">
        <v>172</v>
      </c>
    </row>
    <row r="9" customFormat="false" ht="21.75" hidden="false" customHeight="true" outlineLevel="0" collapsed="false">
      <c r="A9" s="22" t="s">
        <v>173</v>
      </c>
      <c r="B9" s="23" t="n">
        <v>150</v>
      </c>
      <c r="C9" s="24" t="n">
        <f aca="false">IF(B9="","",B9*12)</f>
        <v>1800</v>
      </c>
      <c r="D9" s="29" t="n">
        <f aca="false">IF(OR(B9="",B$19=0),"",B9/B$19)</f>
        <v>0.0350058343057176</v>
      </c>
      <c r="E9" s="31"/>
      <c r="F9" s="25" t="s">
        <v>174</v>
      </c>
    </row>
    <row r="10" customFormat="false" ht="15" hidden="false" customHeight="true" outlineLevel="0" collapsed="false">
      <c r="A10" s="22" t="s">
        <v>175</v>
      </c>
      <c r="B10" s="23" t="n">
        <v>120</v>
      </c>
      <c r="C10" s="24" t="n">
        <f aca="false">IF(B10="","",B10*12)</f>
        <v>1440</v>
      </c>
      <c r="D10" s="29" t="n">
        <f aca="false">IF(OR(B10="",B$19=0),"",B10/B$19)</f>
        <v>0.0280046674445741</v>
      </c>
      <c r="E10" s="31"/>
      <c r="F10" s="25" t="s">
        <v>176</v>
      </c>
    </row>
    <row r="11" customFormat="false" ht="15" hidden="false" customHeight="true" outlineLevel="0" collapsed="false">
      <c r="A11" s="22" t="s">
        <v>177</v>
      </c>
      <c r="B11" s="23" t="n">
        <v>260</v>
      </c>
      <c r="C11" s="24" t="n">
        <f aca="false">IF(B11="","",B11*12)</f>
        <v>3120</v>
      </c>
      <c r="D11" s="29" t="n">
        <f aca="false">IF(OR(B11="",B$19=0),"",B11/B$19)</f>
        <v>0.0606767794632439</v>
      </c>
      <c r="E11" s="31"/>
      <c r="F11" s="25" t="s">
        <v>178</v>
      </c>
    </row>
    <row r="12" customFormat="false" ht="15" hidden="false" customHeight="true" outlineLevel="0" collapsed="false">
      <c r="A12" s="22" t="s">
        <v>179</v>
      </c>
      <c r="B12" s="23" t="n">
        <v>280</v>
      </c>
      <c r="C12" s="24" t="n">
        <f aca="false">IF(B12="","",B12*12)</f>
        <v>3360</v>
      </c>
      <c r="D12" s="29" t="n">
        <f aca="false">IF(OR(B12="",B$19=0),"",B12/B$19)</f>
        <v>0.0653442240373396</v>
      </c>
      <c r="E12" s="31"/>
      <c r="F12" s="25" t="s">
        <v>180</v>
      </c>
    </row>
    <row r="13" customFormat="false" ht="15" hidden="false" customHeight="true" outlineLevel="0" collapsed="false">
      <c r="A13" s="22" t="s">
        <v>181</v>
      </c>
      <c r="B13" s="23" t="n">
        <v>65</v>
      </c>
      <c r="C13" s="24" t="n">
        <f aca="false">IF(B13="","",B13*12)</f>
        <v>780</v>
      </c>
      <c r="D13" s="29" t="n">
        <f aca="false">IF(OR(B13="",B$19=0),"",B13/B$19)</f>
        <v>0.015169194865811</v>
      </c>
      <c r="E13" s="31"/>
      <c r="F13" s="25" t="s">
        <v>182</v>
      </c>
    </row>
    <row r="14" customFormat="false" ht="15" hidden="false" customHeight="true" outlineLevel="0" collapsed="false">
      <c r="A14" s="22" t="s">
        <v>183</v>
      </c>
      <c r="B14" s="23" t="n">
        <v>110</v>
      </c>
      <c r="C14" s="24" t="n">
        <f aca="false">IF(B14="","",B14*12)</f>
        <v>1320</v>
      </c>
      <c r="D14" s="29" t="n">
        <f aca="false">IF(OR(B14="",B$19=0),"",B14/B$19)</f>
        <v>0.0256709451575263</v>
      </c>
      <c r="E14" s="31"/>
      <c r="F14" s="25" t="s">
        <v>184</v>
      </c>
    </row>
    <row r="15" customFormat="false" ht="15" hidden="false" customHeight="true" outlineLevel="0" collapsed="false">
      <c r="A15" s="22" t="s">
        <v>185</v>
      </c>
      <c r="B15" s="23" t="n">
        <v>210</v>
      </c>
      <c r="C15" s="24" t="n">
        <f aca="false">IF(B15="","",B15*12)</f>
        <v>2520</v>
      </c>
      <c r="D15" s="29" t="n">
        <f aca="false">IF(OR(B15="",B$19=0),"",B15/B$19)</f>
        <v>0.0490081680280047</v>
      </c>
      <c r="E15" s="31"/>
      <c r="F15" s="25" t="s">
        <v>186</v>
      </c>
    </row>
    <row r="16" customFormat="false" ht="21.75" hidden="false" customHeight="true" outlineLevel="0" collapsed="false">
      <c r="A16" s="22" t="s">
        <v>187</v>
      </c>
      <c r="B16" s="23" t="n">
        <v>1600</v>
      </c>
      <c r="C16" s="24" t="n">
        <f aca="false">IF(B16="","",B16*12)</f>
        <v>19200</v>
      </c>
      <c r="D16" s="29" t="n">
        <f aca="false">IF(OR(B16="",B$19=0),"",B16/B$19)</f>
        <v>0.373395565927655</v>
      </c>
      <c r="E16" s="31"/>
      <c r="F16" s="25" t="s">
        <v>188</v>
      </c>
    </row>
    <row r="17" customFormat="false" ht="15" hidden="false" customHeight="true" outlineLevel="0" collapsed="false">
      <c r="A17" s="22" t="s">
        <v>189</v>
      </c>
      <c r="B17" s="23" t="n">
        <v>0</v>
      </c>
      <c r="C17" s="24" t="n">
        <f aca="false">IF(B17="","",B17*12)</f>
        <v>0</v>
      </c>
      <c r="D17" s="29" t="n">
        <f aca="false">IF(OR(B17="",B$19=0),"",B17/B$19)</f>
        <v>0</v>
      </c>
      <c r="E17" s="31"/>
      <c r="F17" s="25" t="s">
        <v>190</v>
      </c>
    </row>
    <row r="18" customFormat="false" ht="15" hidden="false" customHeight="true" outlineLevel="0" collapsed="false">
      <c r="A18" s="22" t="s">
        <v>191</v>
      </c>
      <c r="B18" s="23" t="n">
        <v>240</v>
      </c>
      <c r="C18" s="24" t="n">
        <f aca="false">IF(B18="","",B18*12)</f>
        <v>2880</v>
      </c>
      <c r="D18" s="29" t="n">
        <f aca="false">IF(OR(B18="",B$19=0),"",B18/B$19)</f>
        <v>0.0560093348891482</v>
      </c>
      <c r="E18" s="31"/>
      <c r="F18" s="25" t="s">
        <v>192</v>
      </c>
    </row>
    <row r="19" customFormat="false" ht="15" hidden="false" customHeight="true" outlineLevel="0" collapsed="false">
      <c r="A19" s="37" t="s">
        <v>193</v>
      </c>
      <c r="B19" s="39" t="n">
        <f aca="false">SUM(B6:B18)</f>
        <v>4285</v>
      </c>
      <c r="C19" s="39" t="n">
        <f aca="false">SUM(C6:C18)</f>
        <v>51420</v>
      </c>
      <c r="D19" s="38"/>
      <c r="E19" s="38"/>
      <c r="F19" s="38"/>
    </row>
    <row r="21" customFormat="false" ht="15" hidden="false" customHeight="true" outlineLevel="0" collapsed="false">
      <c r="A21" s="22" t="s">
        <v>194</v>
      </c>
      <c r="B21" s="25" t="s">
        <v>195</v>
      </c>
      <c r="C21" s="25"/>
      <c r="D21" s="25"/>
      <c r="E21" s="25"/>
      <c r="F21" s="25"/>
    </row>
    <row r="22" customFormat="false" ht="15" hidden="false" customHeight="true" outlineLevel="0" collapsed="false">
      <c r="A22" s="30" t="s">
        <v>196</v>
      </c>
      <c r="B22" s="31"/>
      <c r="C22" s="31"/>
    </row>
    <row r="23" customFormat="false" ht="15" hidden="false" customHeight="true" outlineLevel="0" collapsed="false">
      <c r="A23" s="30" t="s">
        <v>197</v>
      </c>
      <c r="B23" s="31"/>
      <c r="C23" s="31"/>
    </row>
    <row r="24" customFormat="false" ht="15" hidden="false" customHeight="true" outlineLevel="0" collapsed="false">
      <c r="A24" s="30" t="s">
        <v>198</v>
      </c>
      <c r="B24" s="31"/>
      <c r="C24" s="31"/>
    </row>
  </sheetData>
  <mergeCells count="4">
    <mergeCell ref="B21:F21"/>
    <mergeCell ref="B22:C22"/>
    <mergeCell ref="B23:C23"/>
    <mergeCell ref="B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3" min="3" style="1" width="64"/>
  </cols>
  <sheetData>
    <row r="1" customFormat="false" ht="15" hidden="false" customHeight="true" outlineLevel="0" collapsed="false">
      <c r="A1" s="11" t="s">
        <v>10</v>
      </c>
    </row>
    <row r="2" customFormat="false" ht="19.5" hidden="false" customHeight="true" outlineLevel="0" collapsed="false">
      <c r="A2" s="12" t="s">
        <v>199</v>
      </c>
    </row>
    <row r="3" customFormat="false" ht="25.5" hidden="false" customHeight="true" outlineLevel="0" collapsed="false">
      <c r="A3" s="13" t="s">
        <v>200</v>
      </c>
    </row>
    <row r="5" customFormat="false" ht="39.75" hidden="false" customHeight="true" outlineLevel="0" collapsed="false">
      <c r="A5" s="41" t="s">
        <v>201</v>
      </c>
      <c r="B5" s="42" t="s">
        <v>202</v>
      </c>
      <c r="C5" s="42"/>
    </row>
    <row r="6" customFormat="false" ht="39.75" hidden="false" customHeight="true" outlineLevel="0" collapsed="false">
      <c r="A6" s="41" t="s">
        <v>203</v>
      </c>
      <c r="B6" s="42" t="s">
        <v>204</v>
      </c>
      <c r="C6" s="42"/>
    </row>
    <row r="7" customFormat="false" ht="39.75" hidden="false" customHeight="true" outlineLevel="0" collapsed="false">
      <c r="A7" s="41" t="s">
        <v>205</v>
      </c>
      <c r="B7" s="42" t="s">
        <v>206</v>
      </c>
      <c r="C7" s="42"/>
    </row>
    <row r="8" customFormat="false" ht="39.75" hidden="false" customHeight="true" outlineLevel="0" collapsed="false">
      <c r="A8" s="41" t="s">
        <v>207</v>
      </c>
      <c r="B8" s="42" t="s">
        <v>208</v>
      </c>
      <c r="C8" s="42"/>
    </row>
    <row r="10" customFormat="false" ht="15" hidden="false" customHeight="true" outlineLevel="0" collapsed="false">
      <c r="A10" s="14" t="s">
        <v>209</v>
      </c>
    </row>
    <row r="11" customFormat="false" ht="15" hidden="false" customHeight="true" outlineLevel="0" collapsed="false">
      <c r="A11" s="22" t="s">
        <v>210</v>
      </c>
      <c r="B11" s="34"/>
      <c r="C11" s="25" t="s">
        <v>211</v>
      </c>
    </row>
    <row r="12" customFormat="false" ht="23.25" hidden="false" customHeight="true" outlineLevel="0" collapsed="false">
      <c r="A12" s="22" t="s">
        <v>212</v>
      </c>
      <c r="B12" s="34"/>
      <c r="C12" s="25" t="s">
        <v>213</v>
      </c>
    </row>
    <row r="13" customFormat="false" ht="23.25" hidden="false" customHeight="true" outlineLevel="0" collapsed="false">
      <c r="A13" s="22" t="s">
        <v>214</v>
      </c>
      <c r="B13" s="34"/>
      <c r="C13" s="25" t="s">
        <v>215</v>
      </c>
    </row>
    <row r="14" customFormat="false" ht="23.25" hidden="false" customHeight="true" outlineLevel="0" collapsed="false">
      <c r="A14" s="22" t="s">
        <v>216</v>
      </c>
      <c r="B14" s="34"/>
      <c r="C14" s="25" t="s">
        <v>217</v>
      </c>
    </row>
    <row r="15" customFormat="false" ht="23.25" hidden="false" customHeight="true" outlineLevel="0" collapsed="false">
      <c r="A15" s="22" t="s">
        <v>218</v>
      </c>
      <c r="B15" s="34"/>
      <c r="C15" s="25" t="s">
        <v>219</v>
      </c>
    </row>
    <row r="16" customFormat="false" ht="15" hidden="false" customHeight="true" outlineLevel="0" collapsed="false">
      <c r="A16" s="22" t="s">
        <v>220</v>
      </c>
      <c r="B16" s="43" t="str">
        <f aca="false">IF(COUNTBLANK(B11:B15)&gt;0,"",COUNTIF(B11:B15,"Yes"))</f>
        <v/>
      </c>
    </row>
    <row r="17" customFormat="false" ht="15" hidden="false" customHeight="true" outlineLevel="0" collapsed="false">
      <c r="A17" s="22" t="s">
        <v>221</v>
      </c>
      <c r="B17" s="35" t="str">
        <f aca="false">IF(B16="","— answer all 5 —",IF(B16&gt;=4,"Transferable points",IF(B16&gt;=2,"Hybrid: cash back + one points card","Cash back")))</f>
        <v>— answer all 5 —</v>
      </c>
      <c r="C17" s="35"/>
    </row>
    <row r="18" customFormat="false" ht="21.75" hidden="false" customHeight="true" outlineLevel="0" collapsed="false">
      <c r="A18" s="25" t="s">
        <v>222</v>
      </c>
    </row>
    <row r="20" customFormat="false" ht="15" hidden="false" customHeight="true" outlineLevel="0" collapsed="false">
      <c r="A20" s="14" t="s">
        <v>223</v>
      </c>
    </row>
    <row r="21" customFormat="false" ht="15" hidden="false" customHeight="true" outlineLevel="0" collapsed="false">
      <c r="A21" s="30" t="s">
        <v>224</v>
      </c>
      <c r="B21" s="23" t="n">
        <v>380</v>
      </c>
    </row>
    <row r="22" customFormat="false" ht="15" hidden="false" customHeight="true" outlineLevel="0" collapsed="false">
      <c r="A22" s="30" t="s">
        <v>225</v>
      </c>
      <c r="B22" s="23" t="n">
        <v>28000</v>
      </c>
    </row>
    <row r="23" customFormat="false" ht="21.75" hidden="false" customHeight="true" outlineLevel="0" collapsed="false">
      <c r="A23" s="22" t="s">
        <v>226</v>
      </c>
      <c r="B23" s="29" t="n">
        <f aca="false">IF(OR(B21="",B22="",B22=0),"",B21/B22)</f>
        <v>0.0135714285714286</v>
      </c>
      <c r="C23" s="25" t="s">
        <v>227</v>
      </c>
    </row>
    <row r="25" customFormat="false" ht="53.25" hidden="false" customHeight="true" outlineLevel="0" collapsed="false">
      <c r="A25" s="13" t="s">
        <v>228</v>
      </c>
    </row>
  </sheetData>
  <mergeCells count="5">
    <mergeCell ref="B5:C5"/>
    <mergeCell ref="B6:C6"/>
    <mergeCell ref="B7:C7"/>
    <mergeCell ref="B8:C8"/>
    <mergeCell ref="B17:C17"/>
  </mergeCells>
  <dataValidations count="1">
    <dataValidation allowBlank="true" errorStyle="stop" operator="between" showDropDown="false" showErrorMessage="false" showInputMessage="false" sqref="B11:B1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3"/>
    <col collapsed="false" customWidth="true" hidden="false" outlineLevel="0" max="3" min="3" style="1" width="17"/>
    <col collapsed="false" customWidth="true" hidden="false" outlineLevel="0" max="4" min="4" style="1" width="11"/>
    <col collapsed="false" customWidth="true" hidden="false" outlineLevel="0" max="7" min="5" style="1" width="14"/>
    <col collapsed="false" customWidth="true" hidden="false" outlineLevel="0" max="8" min="8" style="1" width="26"/>
    <col collapsed="false" customWidth="true" hidden="false" outlineLevel="0" max="9" min="9" style="1" width="12"/>
    <col collapsed="false" customWidth="true" hidden="false" outlineLevel="0" max="10" min="10" style="1" width="34"/>
  </cols>
  <sheetData>
    <row r="1" customFormat="false" ht="15" hidden="false" customHeight="true" outlineLevel="0" collapsed="false">
      <c r="A1" s="11" t="s">
        <v>10</v>
      </c>
    </row>
    <row r="2" customFormat="false" ht="19.5" hidden="false" customHeight="true" outlineLevel="0" collapsed="false">
      <c r="A2" s="12" t="s">
        <v>229</v>
      </c>
    </row>
    <row r="3" customFormat="false" ht="25.5" hidden="false" customHeight="true" outlineLevel="0" collapsed="false">
      <c r="A3" s="13" t="s">
        <v>230</v>
      </c>
    </row>
    <row r="5" customFormat="false" ht="27.75" hidden="false" customHeight="true" outlineLevel="0" collapsed="false">
      <c r="A5" s="21" t="s">
        <v>136</v>
      </c>
      <c r="B5" s="21" t="s">
        <v>231</v>
      </c>
      <c r="C5" s="21" t="s">
        <v>232</v>
      </c>
      <c r="D5" s="21" t="s">
        <v>141</v>
      </c>
      <c r="E5" s="21" t="s">
        <v>233</v>
      </c>
      <c r="F5" s="21" t="s">
        <v>234</v>
      </c>
      <c r="G5" s="21" t="s">
        <v>235</v>
      </c>
      <c r="H5" s="21" t="s">
        <v>236</v>
      </c>
      <c r="I5" s="21" t="s">
        <v>138</v>
      </c>
      <c r="J5" s="21" t="s">
        <v>237</v>
      </c>
    </row>
    <row r="6" customFormat="false" ht="57" hidden="false" customHeight="true" outlineLevel="0" collapsed="false">
      <c r="A6" s="34" t="s">
        <v>150</v>
      </c>
      <c r="B6" s="31" t="s">
        <v>238</v>
      </c>
      <c r="C6" s="31" t="s">
        <v>239</v>
      </c>
      <c r="D6" s="26" t="n">
        <v>325</v>
      </c>
      <c r="E6" s="26" t="n">
        <v>520</v>
      </c>
      <c r="F6" s="26" t="n">
        <v>240</v>
      </c>
      <c r="G6" s="24" t="n">
        <f aca="false">IF(AND(E6="",F6=""),"",SUM(E6,F6)-IF(D6="",0,D6))</f>
        <v>435</v>
      </c>
      <c r="H6" s="31" t="s">
        <v>240</v>
      </c>
      <c r="I6" s="44" t="n">
        <v>10000</v>
      </c>
      <c r="J6" s="31" t="s">
        <v>241</v>
      </c>
    </row>
    <row r="7" customFormat="false" ht="15" hidden="false" customHeight="true" outlineLevel="0" collapsed="false">
      <c r="A7" s="34"/>
      <c r="B7" s="31"/>
      <c r="C7" s="31"/>
      <c r="D7" s="26"/>
      <c r="E7" s="26"/>
      <c r="F7" s="26"/>
      <c r="G7" s="24" t="str">
        <f aca="false">IF(AND(E7="",F7=""),"",SUM(E7,F7)-IF(D7="",0,D7))</f>
        <v/>
      </c>
      <c r="H7" s="31"/>
      <c r="I7" s="26"/>
      <c r="J7" s="31"/>
    </row>
    <row r="8" customFormat="false" ht="15" hidden="false" customHeight="true" outlineLevel="0" collapsed="false">
      <c r="A8" s="34"/>
      <c r="B8" s="31"/>
      <c r="C8" s="31"/>
      <c r="D8" s="26"/>
      <c r="E8" s="26"/>
      <c r="F8" s="26"/>
      <c r="G8" s="24" t="str">
        <f aca="false">IF(AND(E8="",F8=""),"",SUM(E8,F8)-IF(D8="",0,D8))</f>
        <v/>
      </c>
      <c r="H8" s="31"/>
      <c r="I8" s="26"/>
      <c r="J8" s="31"/>
    </row>
    <row r="9" customFormat="false" ht="15" hidden="false" customHeight="true" outlineLevel="0" collapsed="false">
      <c r="A9" s="34"/>
      <c r="B9" s="31"/>
      <c r="C9" s="31"/>
      <c r="D9" s="26"/>
      <c r="E9" s="26"/>
      <c r="F9" s="26"/>
      <c r="G9" s="24" t="str">
        <f aca="false">IF(AND(E9="",F9=""),"",SUM(E9,F9)-IF(D9="",0,D9))</f>
        <v/>
      </c>
      <c r="H9" s="31"/>
      <c r="I9" s="26"/>
      <c r="J9" s="31"/>
    </row>
    <row r="10" customFormat="false" ht="15" hidden="false" customHeight="true" outlineLevel="0" collapsed="false">
      <c r="A10" s="34"/>
      <c r="B10" s="31"/>
      <c r="C10" s="31"/>
      <c r="D10" s="26"/>
      <c r="E10" s="26"/>
      <c r="F10" s="26"/>
      <c r="G10" s="24" t="str">
        <f aca="false">IF(AND(E10="",F10=""),"",SUM(E10,F10)-IF(D10="",0,D10))</f>
        <v/>
      </c>
      <c r="H10" s="31"/>
      <c r="I10" s="26"/>
      <c r="J10" s="31"/>
    </row>
    <row r="11" customFormat="false" ht="15" hidden="false" customHeight="true" outlineLevel="0" collapsed="false">
      <c r="A11" s="34"/>
      <c r="B11" s="31"/>
      <c r="C11" s="31"/>
      <c r="D11" s="26"/>
      <c r="E11" s="26"/>
      <c r="F11" s="26"/>
      <c r="G11" s="24" t="str">
        <f aca="false">IF(AND(E11="",F11=""),"",SUM(E11,F11)-IF(D11="",0,D11))</f>
        <v/>
      </c>
      <c r="H11" s="31"/>
      <c r="I11" s="26"/>
      <c r="J11" s="31"/>
    </row>
    <row r="12" customFormat="false" ht="15" hidden="false" customHeight="true" outlineLevel="0" collapsed="false">
      <c r="A12" s="34"/>
      <c r="B12" s="31"/>
      <c r="C12" s="31"/>
      <c r="D12" s="26"/>
      <c r="E12" s="26"/>
      <c r="F12" s="26"/>
      <c r="G12" s="24" t="str">
        <f aca="false">IF(AND(E12="",F12=""),"",SUM(E12,F12)-IF(D12="",0,D12))</f>
        <v/>
      </c>
      <c r="H12" s="31"/>
      <c r="I12" s="26"/>
      <c r="J12" s="31"/>
    </row>
    <row r="13" customFormat="false" ht="15" hidden="false" customHeight="true" outlineLevel="0" collapsed="false">
      <c r="A13" s="34"/>
      <c r="B13" s="31"/>
      <c r="C13" s="31"/>
      <c r="D13" s="26"/>
      <c r="E13" s="26"/>
      <c r="F13" s="26"/>
      <c r="G13" s="24" t="str">
        <f aca="false">IF(AND(E13="",F13=""),"",SUM(E13,F13)-IF(D13="",0,D13))</f>
        <v/>
      </c>
      <c r="H13" s="31"/>
      <c r="I13" s="26"/>
      <c r="J13" s="31"/>
    </row>
    <row r="14" customFormat="false" ht="15" hidden="false" customHeight="true" outlineLevel="0" collapsed="false">
      <c r="A14" s="34"/>
      <c r="B14" s="31"/>
      <c r="C14" s="31"/>
      <c r="D14" s="26"/>
      <c r="E14" s="26"/>
      <c r="F14" s="26"/>
      <c r="G14" s="24" t="str">
        <f aca="false">IF(AND(E14="",F14=""),"",SUM(E14,F14)-IF(D14="",0,D14))</f>
        <v/>
      </c>
      <c r="H14" s="31"/>
      <c r="I14" s="26"/>
      <c r="J14" s="31"/>
    </row>
    <row r="15" customFormat="false" ht="15" hidden="false" customHeight="true" outlineLevel="0" collapsed="false">
      <c r="A15" s="34"/>
      <c r="B15" s="31"/>
      <c r="C15" s="31"/>
      <c r="D15" s="26"/>
      <c r="E15" s="26"/>
      <c r="F15" s="26"/>
      <c r="G15" s="24" t="str">
        <f aca="false">IF(AND(E15="",F15=""),"",SUM(E15,F15)-IF(D15="",0,D15))</f>
        <v/>
      </c>
      <c r="H15" s="31"/>
      <c r="I15" s="26"/>
      <c r="J15" s="31"/>
    </row>
    <row r="16" customFormat="false" ht="15" hidden="false" customHeight="true" outlineLevel="0" collapsed="false">
      <c r="A16" s="37" t="s">
        <v>242</v>
      </c>
      <c r="B16" s="38"/>
      <c r="C16" s="38"/>
      <c r="D16" s="39" t="n">
        <f aca="false">SUM(D6:D15)</f>
        <v>325</v>
      </c>
      <c r="E16" s="39" t="n">
        <f aca="false">SUM(E6:E15)</f>
        <v>520</v>
      </c>
      <c r="F16" s="39" t="n">
        <f aca="false">SUM(F6:F15)</f>
        <v>240</v>
      </c>
      <c r="G16" s="39" t="n">
        <f aca="false">SUM(G6:G15)</f>
        <v>435</v>
      </c>
      <c r="H16" s="38"/>
      <c r="I16" s="38"/>
      <c r="J16" s="38"/>
    </row>
    <row r="18" customFormat="false" ht="95.25" hidden="false" customHeight="true" outlineLevel="0" collapsed="false">
      <c r="A18" s="13" t="s">
        <v>243</v>
      </c>
    </row>
  </sheetData>
  <dataValidations count="3">
    <dataValidation allowBlank="true" errorStyle="stop" operator="between" showDropDown="false" showErrorMessage="false" showInputMessage="false" sqref="A6:A15" type="list">
      <formula1>'CARD DATABASE'!$A$5:$A$34</formula1>
      <formula2>0</formula2>
    </dataValidation>
    <dataValidation allowBlank="true" errorStyle="stop" operator="between" showDropDown="false" showErrorMessage="false" showInputMessage="false" sqref="B6:B15" type="list">
      <formula1>"Own,Considering,Applied,Approved"</formula1>
      <formula2>0</formula2>
    </dataValidation>
    <dataValidation allowBlank="true" errorStyle="stop" operator="between" showDropDown="false" showErrorMessage="false" showInputMessage="false" sqref="C6:C15" type="list">
      <formula1>"Everyday flat-rate,Dining &amp; groceries,Travel — general,Airline,Hotel,Online / rotating,Business,Premium perks,Other"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7" min="3" style="1" width="12"/>
    <col collapsed="false" customWidth="true" hidden="false" outlineLevel="0" max="9" min="8" style="1" width="13"/>
    <col collapsed="false" customWidth="true" hidden="false" outlineLevel="0" max="10" min="10" style="1" width="14"/>
    <col collapsed="false" customWidth="true" hidden="false" outlineLevel="0" max="11" min="11" style="1" width="30"/>
  </cols>
  <sheetData>
    <row r="1" customFormat="false" ht="15" hidden="false" customHeight="true" outlineLevel="0" collapsed="false">
      <c r="A1" s="11" t="s">
        <v>10</v>
      </c>
    </row>
    <row r="2" customFormat="false" ht="19.5" hidden="false" customHeight="true" outlineLevel="0" collapsed="false">
      <c r="A2" s="12" t="s">
        <v>244</v>
      </c>
    </row>
    <row r="3" customFormat="false" ht="25.5" hidden="false" customHeight="true" outlineLevel="0" collapsed="false">
      <c r="A3" s="13" t="s">
        <v>245</v>
      </c>
    </row>
    <row r="5" customFormat="false" ht="30" hidden="false" customHeight="true" outlineLevel="0" collapsed="false">
      <c r="A5" s="45" t="s">
        <v>246</v>
      </c>
      <c r="B5" s="45"/>
      <c r="C5" s="45"/>
      <c r="D5" s="45"/>
      <c r="E5" s="45"/>
      <c r="F5" s="45"/>
      <c r="G5" s="45"/>
      <c r="H5" s="45"/>
      <c r="I5" s="45"/>
      <c r="J5" s="45"/>
      <c r="K5" s="45"/>
    </row>
    <row r="7" customFormat="false" ht="27.75" hidden="false" customHeight="true" outlineLevel="0" collapsed="false">
      <c r="A7" s="21" t="s">
        <v>136</v>
      </c>
      <c r="B7" s="21" t="s">
        <v>247</v>
      </c>
      <c r="C7" s="21" t="s">
        <v>248</v>
      </c>
      <c r="D7" s="21" t="s">
        <v>249</v>
      </c>
      <c r="E7" s="21" t="s">
        <v>250</v>
      </c>
      <c r="F7" s="21" t="s">
        <v>251</v>
      </c>
      <c r="G7" s="21" t="s">
        <v>252</v>
      </c>
      <c r="H7" s="21" t="s">
        <v>253</v>
      </c>
      <c r="I7" s="21" t="s">
        <v>254</v>
      </c>
      <c r="J7" s="21" t="s">
        <v>255</v>
      </c>
      <c r="K7" s="21" t="s">
        <v>256</v>
      </c>
    </row>
    <row r="8" customFormat="false" ht="23.25" hidden="false" customHeight="true" outlineLevel="0" collapsed="false">
      <c r="A8" s="34" t="s">
        <v>150</v>
      </c>
      <c r="B8" s="31" t="s">
        <v>257</v>
      </c>
      <c r="C8" s="23" t="n">
        <v>6000</v>
      </c>
      <c r="D8" s="46" t="n">
        <v>46402</v>
      </c>
      <c r="E8" s="26" t="n">
        <v>2100</v>
      </c>
      <c r="F8" s="24" t="n">
        <f aca="false">IF(C8="","",MAX(0,C8-IF(E8="",0,E8)))</f>
        <v>3900</v>
      </c>
      <c r="G8" s="43" t="n">
        <f aca="true">IF(D8="","",MAX(0,D8-TODAY()))</f>
        <v>157</v>
      </c>
      <c r="H8" s="24" t="n">
        <f aca="true">IF(OR(C8="",D8="",D8-TODAY()&lt;=0),"",ROUND(F8/MAX(1,(D8-TODAY())/30.4),0))</f>
        <v>755</v>
      </c>
      <c r="I8" s="26" t="n">
        <v>700</v>
      </c>
      <c r="J8" s="26" t="n">
        <v>600</v>
      </c>
      <c r="K8" s="31" t="s">
        <v>258</v>
      </c>
    </row>
    <row r="9" customFormat="false" ht="15" hidden="false" customHeight="true" outlineLevel="0" collapsed="false">
      <c r="A9" s="34"/>
      <c r="B9" s="31"/>
      <c r="C9" s="23"/>
      <c r="D9" s="46"/>
      <c r="E9" s="26"/>
      <c r="F9" s="24" t="str">
        <f aca="false">IF(C9="","",MAX(0,C9-IF(E9="",0,E9)))</f>
        <v/>
      </c>
      <c r="G9" s="43" t="str">
        <f aca="true">IF(D9="","",MAX(0,D9-TODAY()))</f>
        <v/>
      </c>
      <c r="H9" s="24" t="str">
        <f aca="true">IF(OR(C9="",D9="",D9-TODAY()&lt;=0),"",ROUND(F9/MAX(1,(D9-TODAY())/30.4),0))</f>
        <v/>
      </c>
      <c r="I9" s="26"/>
      <c r="J9" s="26"/>
      <c r="K9" s="31"/>
    </row>
    <row r="10" customFormat="false" ht="15" hidden="false" customHeight="true" outlineLevel="0" collapsed="false">
      <c r="A10" s="34"/>
      <c r="B10" s="31"/>
      <c r="C10" s="23"/>
      <c r="D10" s="46"/>
      <c r="E10" s="26"/>
      <c r="F10" s="24" t="str">
        <f aca="false">IF(C10="","",MAX(0,C10-IF(E10="",0,E10)))</f>
        <v/>
      </c>
      <c r="G10" s="43" t="str">
        <f aca="true">IF(D10="","",MAX(0,D10-TODAY()))</f>
        <v/>
      </c>
      <c r="H10" s="24" t="str">
        <f aca="true">IF(OR(C10="",D10="",D10-TODAY()&lt;=0),"",ROUND(F10/MAX(1,(D10-TODAY())/30.4),0))</f>
        <v/>
      </c>
      <c r="I10" s="26"/>
      <c r="J10" s="26"/>
      <c r="K10" s="31"/>
    </row>
    <row r="11" customFormat="false" ht="15" hidden="false" customHeight="true" outlineLevel="0" collapsed="false">
      <c r="A11" s="34"/>
      <c r="B11" s="31"/>
      <c r="C11" s="23"/>
      <c r="D11" s="46"/>
      <c r="E11" s="26"/>
      <c r="F11" s="24" t="str">
        <f aca="false">IF(C11="","",MAX(0,C11-IF(E11="",0,E11)))</f>
        <v/>
      </c>
      <c r="G11" s="43" t="str">
        <f aca="true">IF(D11="","",MAX(0,D11-TODAY()))</f>
        <v/>
      </c>
      <c r="H11" s="24" t="str">
        <f aca="true">IF(OR(C11="",D11="",D11-TODAY()&lt;=0),"",ROUND(F11/MAX(1,(D11-TODAY())/30.4),0))</f>
        <v/>
      </c>
      <c r="I11" s="26"/>
      <c r="J11" s="26"/>
      <c r="K11" s="31"/>
    </row>
    <row r="12" customFormat="false" ht="15" hidden="false" customHeight="true" outlineLevel="0" collapsed="false">
      <c r="A12" s="34"/>
      <c r="B12" s="31"/>
      <c r="C12" s="23"/>
      <c r="D12" s="46"/>
      <c r="E12" s="26"/>
      <c r="F12" s="24" t="str">
        <f aca="false">IF(C12="","",MAX(0,C12-IF(E12="",0,E12)))</f>
        <v/>
      </c>
      <c r="G12" s="43" t="str">
        <f aca="true">IF(D12="","",MAX(0,D12-TODAY()))</f>
        <v/>
      </c>
      <c r="H12" s="24" t="str">
        <f aca="true">IF(OR(C12="",D12="",D12-TODAY()&lt;=0),"",ROUND(F12/MAX(1,(D12-TODAY())/30.4),0))</f>
        <v/>
      </c>
      <c r="I12" s="26"/>
      <c r="J12" s="26"/>
      <c r="K12" s="31"/>
    </row>
    <row r="13" customFormat="false" ht="15" hidden="false" customHeight="true" outlineLevel="0" collapsed="false">
      <c r="A13" s="34"/>
      <c r="B13" s="31"/>
      <c r="C13" s="23"/>
      <c r="D13" s="46"/>
      <c r="E13" s="26"/>
      <c r="F13" s="24" t="str">
        <f aca="false">IF(C13="","",MAX(0,C13-IF(E13="",0,E13)))</f>
        <v/>
      </c>
      <c r="G13" s="43" t="str">
        <f aca="true">IF(D13="","",MAX(0,D13-TODAY()))</f>
        <v/>
      </c>
      <c r="H13" s="24" t="str">
        <f aca="true">IF(OR(C13="",D13="",D13-TODAY()&lt;=0),"",ROUND(F13/MAX(1,(D13-TODAY())/30.4),0))</f>
        <v/>
      </c>
      <c r="I13" s="26"/>
      <c r="J13" s="26"/>
      <c r="K13" s="31"/>
    </row>
    <row r="15" customFormat="false" ht="15" hidden="false" customHeight="true" outlineLevel="0" collapsed="false">
      <c r="A15" s="22" t="s">
        <v>259</v>
      </c>
      <c r="B15" s="35" t="str">
        <f aca="false">IF(OR(H8="",I8=""),"",IF(I8&gt;=H8,"On track at your planned pace","Behind — required pace exceeds your plan. Choose: adjust timing, or let it go."))</f>
        <v>Behind — required pace exceeds your plan. Choose: adjust timing, or let it go.</v>
      </c>
      <c r="C15" s="35"/>
      <c r="D15" s="35"/>
      <c r="E15" s="35"/>
      <c r="F15" s="35"/>
      <c r="G15" s="35"/>
      <c r="H15" s="35"/>
    </row>
    <row r="17" customFormat="false" ht="63.75" hidden="false" customHeight="true" outlineLevel="0" collapsed="false">
      <c r="A17" s="13" t="s">
        <v>260</v>
      </c>
    </row>
  </sheetData>
  <mergeCells count="2">
    <mergeCell ref="A5:K5"/>
    <mergeCell ref="B15:H15"/>
  </mergeCells>
  <dataValidations count="1">
    <dataValidation allowBlank="true" errorStyle="stop" operator="between" showDropDown="false" showErrorMessage="false" showInputMessage="false" sqref="A8:A13" type="list">
      <formula1>'CARD DATABASE'!$A$5:$A$34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60"/>
  </cols>
  <sheetData>
    <row r="1" customFormat="false" ht="15" hidden="false" customHeight="true" outlineLevel="0" collapsed="false">
      <c r="A1" s="11" t="s">
        <v>10</v>
      </c>
    </row>
    <row r="2" customFormat="false" ht="19.5" hidden="false" customHeight="true" outlineLevel="0" collapsed="false">
      <c r="A2" s="12" t="s">
        <v>261</v>
      </c>
    </row>
    <row r="3" customFormat="false" ht="25.5" hidden="false" customHeight="true" outlineLevel="0" collapsed="false">
      <c r="A3" s="13" t="s">
        <v>262</v>
      </c>
    </row>
    <row r="5" customFormat="false" ht="15" hidden="false" customHeight="true" outlineLevel="0" collapsed="false">
      <c r="A5" s="14" t="s">
        <v>263</v>
      </c>
    </row>
    <row r="6" customFormat="false" ht="15" hidden="false" customHeight="true" outlineLevel="0" collapsed="false">
      <c r="A6" s="22" t="s">
        <v>264</v>
      </c>
      <c r="B6" s="34" t="s">
        <v>265</v>
      </c>
      <c r="C6" s="25" t="s">
        <v>266</v>
      </c>
    </row>
    <row r="7" customFormat="false" ht="23.25" hidden="false" customHeight="true" outlineLevel="0" collapsed="false">
      <c r="A7" s="22" t="s">
        <v>267</v>
      </c>
      <c r="B7" s="34"/>
      <c r="C7" s="25" t="s">
        <v>268</v>
      </c>
    </row>
    <row r="8" customFormat="false" ht="15" hidden="false" customHeight="true" outlineLevel="0" collapsed="false">
      <c r="A8" s="22" t="s">
        <v>269</v>
      </c>
      <c r="B8" s="34"/>
      <c r="C8" s="25" t="s">
        <v>270</v>
      </c>
    </row>
    <row r="9" customFormat="false" ht="15" hidden="false" customHeight="true" outlineLevel="0" collapsed="false">
      <c r="A9" s="22" t="s">
        <v>271</v>
      </c>
      <c r="B9" s="34"/>
      <c r="C9" s="25" t="s">
        <v>272</v>
      </c>
    </row>
    <row r="10" customFormat="false" ht="23.25" hidden="false" customHeight="true" outlineLevel="0" collapsed="false">
      <c r="A10" s="22" t="s">
        <v>273</v>
      </c>
      <c r="B10" s="34"/>
      <c r="C10" s="25" t="s">
        <v>274</v>
      </c>
    </row>
    <row r="11" customFormat="false" ht="15" hidden="false" customHeight="true" outlineLevel="0" collapsed="false">
      <c r="A11" s="22" t="s">
        <v>275</v>
      </c>
      <c r="B11" s="35" t="str">
        <f aca="false">IF(COUNTBLANK(B6:B10)&gt;0,"",IF(COUNTIF(B6:B10,"Yes")=5,"Green — positioned well",IF(COUNTIF(B6:B10,"Yes")&gt;=3,"Yellow — fix the No answers first","Red — build first, apply later")))</f>
        <v/>
      </c>
      <c r="C11" s="35"/>
    </row>
    <row r="13" customFormat="false" ht="15" hidden="false" customHeight="true" outlineLevel="0" collapsed="false">
      <c r="A13" s="14" t="s">
        <v>276</v>
      </c>
    </row>
    <row r="14" customFormat="false" ht="27.75" hidden="false" customHeight="true" outlineLevel="0" collapsed="false">
      <c r="A14" s="21" t="s">
        <v>277</v>
      </c>
      <c r="B14" s="21" t="s">
        <v>278</v>
      </c>
      <c r="C14" s="21" t="s">
        <v>279</v>
      </c>
    </row>
    <row r="15" customFormat="false" ht="27.75" hidden="false" customHeight="true" outlineLevel="0" collapsed="false">
      <c r="A15" s="34" t="s">
        <v>280</v>
      </c>
      <c r="B15" s="31" t="s">
        <v>281</v>
      </c>
      <c r="C15" s="31" t="s">
        <v>282</v>
      </c>
    </row>
    <row r="16" customFormat="false" ht="27.75" hidden="false" customHeight="true" outlineLevel="0" collapsed="false">
      <c r="A16" s="34"/>
      <c r="B16" s="31"/>
      <c r="C16" s="31"/>
    </row>
    <row r="17" customFormat="false" ht="27.75" hidden="false" customHeight="true" outlineLevel="0" collapsed="false">
      <c r="A17" s="34"/>
      <c r="B17" s="31"/>
      <c r="C17" s="31"/>
    </row>
    <row r="19" customFormat="false" ht="15" hidden="false" customHeight="true" outlineLevel="0" collapsed="false">
      <c r="A19" s="14" t="s">
        <v>283</v>
      </c>
    </row>
    <row r="20" customFormat="false" ht="25.5" hidden="false" customHeight="true" outlineLevel="0" collapsed="false">
      <c r="A20" s="30" t="s">
        <v>284</v>
      </c>
      <c r="B20" s="30"/>
      <c r="C20" s="30"/>
    </row>
    <row r="21" customFormat="false" ht="25.5" hidden="false" customHeight="true" outlineLevel="0" collapsed="false">
      <c r="A21" s="30" t="s">
        <v>285</v>
      </c>
      <c r="B21" s="30"/>
      <c r="C21" s="30"/>
    </row>
    <row r="22" customFormat="false" ht="25.5" hidden="false" customHeight="true" outlineLevel="0" collapsed="false">
      <c r="A22" s="30" t="s">
        <v>286</v>
      </c>
      <c r="B22" s="30"/>
      <c r="C22" s="30"/>
    </row>
    <row r="23" customFormat="false" ht="25.5" hidden="false" customHeight="true" outlineLevel="0" collapsed="false">
      <c r="A23" s="30" t="s">
        <v>287</v>
      </c>
      <c r="B23" s="30"/>
      <c r="C23" s="30"/>
    </row>
    <row r="24" customFormat="false" ht="25.5" hidden="false" customHeight="true" outlineLevel="0" collapsed="false">
      <c r="A24" s="30" t="s">
        <v>288</v>
      </c>
      <c r="B24" s="30"/>
      <c r="C24" s="30"/>
    </row>
  </sheetData>
  <mergeCells count="6">
    <mergeCell ref="B11:C11"/>
    <mergeCell ref="A20:C20"/>
    <mergeCell ref="A21:C21"/>
    <mergeCell ref="A22:C22"/>
    <mergeCell ref="A23:C23"/>
    <mergeCell ref="A24:C24"/>
  </mergeCells>
  <dataValidations count="2">
    <dataValidation allowBlank="true" errorStyle="stop" operator="between" showDropDown="false" showErrorMessage="false" showInputMessage="false" sqref="B6:B10" type="list">
      <formula1>"Yes,No"</formula1>
      <formula2>0</formula2>
    </dataValidation>
    <dataValidation allowBlank="true" errorStyle="stop" operator="between" showDropDown="false" showErrorMessage="false" showInputMessage="false" sqref="A15:A17" type="list">
      <formula1>'CARD DATABASE'!$A$5:$A$34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6" min="3" style="1" width="14"/>
    <col collapsed="false" customWidth="true" hidden="false" outlineLevel="0" max="7" min="7" style="1" width="13"/>
    <col collapsed="false" customWidth="true" hidden="false" outlineLevel="0" max="8" min="8" style="1" width="40"/>
  </cols>
  <sheetData>
    <row r="1" customFormat="false" ht="15" hidden="false" customHeight="true" outlineLevel="0" collapsed="false">
      <c r="A1" s="11" t="s">
        <v>10</v>
      </c>
    </row>
    <row r="2" customFormat="false" ht="19.5" hidden="false" customHeight="true" outlineLevel="0" collapsed="false">
      <c r="A2" s="12" t="s">
        <v>289</v>
      </c>
    </row>
    <row r="3" customFormat="false" ht="25.5" hidden="false" customHeight="true" outlineLevel="0" collapsed="false">
      <c r="A3" s="13" t="s">
        <v>290</v>
      </c>
    </row>
    <row r="5" customFormat="false" ht="27.75" hidden="false" customHeight="true" outlineLevel="0" collapsed="false">
      <c r="A5" s="21" t="s">
        <v>136</v>
      </c>
      <c r="B5" s="21" t="s">
        <v>141</v>
      </c>
      <c r="C5" s="21" t="s">
        <v>291</v>
      </c>
      <c r="D5" s="21" t="s">
        <v>292</v>
      </c>
      <c r="E5" s="21" t="s">
        <v>293</v>
      </c>
      <c r="F5" s="21" t="s">
        <v>294</v>
      </c>
      <c r="G5" s="21" t="s">
        <v>148</v>
      </c>
      <c r="H5" s="21" t="s">
        <v>295</v>
      </c>
    </row>
    <row r="6" customFormat="false" ht="23.25" hidden="false" customHeight="true" outlineLevel="0" collapsed="false">
      <c r="A6" s="34" t="s">
        <v>150</v>
      </c>
      <c r="B6" s="23" t="n">
        <v>325</v>
      </c>
      <c r="C6" s="26" t="n">
        <v>240</v>
      </c>
      <c r="D6" s="26" t="n">
        <v>80</v>
      </c>
      <c r="E6" s="26" t="n">
        <v>520</v>
      </c>
      <c r="F6" s="24" t="n">
        <f aca="false">IF(B6="","",SUM(C6:E6)-B6)</f>
        <v>515</v>
      </c>
      <c r="G6" s="35" t="str">
        <f aca="false">IF(B6="","",IF(SUM(C6:E6)-B6&gt;=0,"KEEP","REVIEW"))</f>
        <v>KEEP</v>
      </c>
      <c r="H6" s="31" t="s">
        <v>296</v>
      </c>
    </row>
    <row r="7" customFormat="false" ht="15" hidden="false" customHeight="true" outlineLevel="0" collapsed="false">
      <c r="A7" s="34"/>
      <c r="B7" s="23"/>
      <c r="C7" s="26"/>
      <c r="D7" s="26"/>
      <c r="E7" s="26"/>
      <c r="F7" s="24" t="str">
        <f aca="false">IF(B7="","",SUM(C7:E7)-B7)</f>
        <v/>
      </c>
      <c r="G7" s="35" t="str">
        <f aca="false">IF(B7="","",IF(SUM(C7:E7)-B7&gt;=0,"KEEP","REVIEW"))</f>
        <v/>
      </c>
      <c r="H7" s="31"/>
    </row>
    <row r="8" customFormat="false" ht="15" hidden="false" customHeight="true" outlineLevel="0" collapsed="false">
      <c r="A8" s="34"/>
      <c r="B8" s="23"/>
      <c r="C8" s="26"/>
      <c r="D8" s="26"/>
      <c r="E8" s="26"/>
      <c r="F8" s="24" t="str">
        <f aca="false">IF(B8="","",SUM(C8:E8)-B8)</f>
        <v/>
      </c>
      <c r="G8" s="35" t="str">
        <f aca="false">IF(B8="","",IF(SUM(C8:E8)-B8&gt;=0,"KEEP","REVIEW"))</f>
        <v/>
      </c>
      <c r="H8" s="31"/>
    </row>
    <row r="9" customFormat="false" ht="15" hidden="false" customHeight="true" outlineLevel="0" collapsed="false">
      <c r="A9" s="34"/>
      <c r="B9" s="23"/>
      <c r="C9" s="26"/>
      <c r="D9" s="26"/>
      <c r="E9" s="26"/>
      <c r="F9" s="24" t="str">
        <f aca="false">IF(B9="","",SUM(C9:E9)-B9)</f>
        <v/>
      </c>
      <c r="G9" s="35" t="str">
        <f aca="false">IF(B9="","",IF(SUM(C9:E9)-B9&gt;=0,"KEEP","REVIEW"))</f>
        <v/>
      </c>
      <c r="H9" s="31"/>
    </row>
    <row r="10" customFormat="false" ht="15" hidden="false" customHeight="true" outlineLevel="0" collapsed="false">
      <c r="A10" s="34"/>
      <c r="B10" s="23"/>
      <c r="C10" s="26"/>
      <c r="D10" s="26"/>
      <c r="E10" s="26"/>
      <c r="F10" s="24" t="str">
        <f aca="false">IF(B10="","",SUM(C10:E10)-B10)</f>
        <v/>
      </c>
      <c r="G10" s="35" t="str">
        <f aca="false">IF(B10="","",IF(SUM(C10:E10)-B10&gt;=0,"KEEP","REVIEW"))</f>
        <v/>
      </c>
      <c r="H10" s="31"/>
    </row>
    <row r="11" customFormat="false" ht="15" hidden="false" customHeight="true" outlineLevel="0" collapsed="false">
      <c r="A11" s="34"/>
      <c r="B11" s="23"/>
      <c r="C11" s="26"/>
      <c r="D11" s="26"/>
      <c r="E11" s="26"/>
      <c r="F11" s="24" t="str">
        <f aca="false">IF(B11="","",SUM(C11:E11)-B11)</f>
        <v/>
      </c>
      <c r="G11" s="35" t="str">
        <f aca="false">IF(B11="","",IF(SUM(C11:E11)-B11&gt;=0,"KEEP","REVIEW"))</f>
        <v/>
      </c>
      <c r="H11" s="31"/>
    </row>
    <row r="12" customFormat="false" ht="15" hidden="false" customHeight="true" outlineLevel="0" collapsed="false">
      <c r="A12" s="34"/>
      <c r="B12" s="23"/>
      <c r="C12" s="26"/>
      <c r="D12" s="26"/>
      <c r="E12" s="26"/>
      <c r="F12" s="24" t="str">
        <f aca="false">IF(B12="","",SUM(C12:E12)-B12)</f>
        <v/>
      </c>
      <c r="G12" s="35" t="str">
        <f aca="false">IF(B12="","",IF(SUM(C12:E12)-B12&gt;=0,"KEEP","REVIEW"))</f>
        <v/>
      </c>
      <c r="H12" s="31"/>
    </row>
    <row r="13" customFormat="false" ht="15" hidden="false" customHeight="true" outlineLevel="0" collapsed="false">
      <c r="A13" s="34"/>
      <c r="B13" s="23"/>
      <c r="C13" s="26"/>
      <c r="D13" s="26"/>
      <c r="E13" s="26"/>
      <c r="F13" s="24" t="str">
        <f aca="false">IF(B13="","",SUM(C13:E13)-B13)</f>
        <v/>
      </c>
      <c r="G13" s="35" t="str">
        <f aca="false">IF(B13="","",IF(SUM(C13:E13)-B13&gt;=0,"KEEP","REVIEW"))</f>
        <v/>
      </c>
      <c r="H13" s="31"/>
    </row>
    <row r="14" customFormat="false" ht="15" hidden="false" customHeight="true" outlineLevel="0" collapsed="false">
      <c r="A14" s="34"/>
      <c r="B14" s="23"/>
      <c r="C14" s="26"/>
      <c r="D14" s="26"/>
      <c r="E14" s="26"/>
      <c r="F14" s="24" t="str">
        <f aca="false">IF(B14="","",SUM(C14:E14)-B14)</f>
        <v/>
      </c>
      <c r="G14" s="35" t="str">
        <f aca="false">IF(B14="","",IF(SUM(C14:E14)-B14&gt;=0,"KEEP","REVIEW"))</f>
        <v/>
      </c>
      <c r="H14" s="31"/>
    </row>
    <row r="15" customFormat="false" ht="15" hidden="false" customHeight="true" outlineLevel="0" collapsed="false">
      <c r="A15" s="34"/>
      <c r="B15" s="23"/>
      <c r="C15" s="26"/>
      <c r="D15" s="26"/>
      <c r="E15" s="26"/>
      <c r="F15" s="24" t="str">
        <f aca="false">IF(B15="","",SUM(C15:E15)-B15)</f>
        <v/>
      </c>
      <c r="G15" s="35" t="str">
        <f aca="false">IF(B15="","",IF(SUM(C15:E15)-B15&gt;=0,"KEEP","REVIEW"))</f>
        <v/>
      </c>
      <c r="H15" s="31"/>
    </row>
    <row r="16" customFormat="false" ht="15" hidden="false" customHeight="true" outlineLevel="0" collapsed="false">
      <c r="A16" s="37" t="s">
        <v>158</v>
      </c>
      <c r="B16" s="39" t="n">
        <f aca="false">SUM(B6:B15)</f>
        <v>325</v>
      </c>
      <c r="C16" s="39" t="n">
        <f aca="false">SUM(C6:C15)</f>
        <v>240</v>
      </c>
      <c r="D16" s="39" t="n">
        <f aca="false">SUM(D6:D15)</f>
        <v>80</v>
      </c>
      <c r="E16" s="39" t="n">
        <f aca="false">SUM(E6:E15)</f>
        <v>520</v>
      </c>
      <c r="F16" s="39" t="n">
        <f aca="false">SUM(F6:F15)</f>
        <v>515</v>
      </c>
      <c r="G16" s="38"/>
      <c r="H16" s="38"/>
    </row>
    <row r="18" customFormat="false" ht="84.75" hidden="false" customHeight="true" outlineLevel="0" collapsed="false">
      <c r="A18" s="13" t="s">
        <v>297</v>
      </c>
    </row>
  </sheetData>
  <dataValidations count="1">
    <dataValidation allowBlank="true" errorStyle="stop" operator="between" showDropDown="false" showErrorMessage="false" showInputMessage="false" sqref="A6:A15" type="list">
      <formula1>'CARD DATABASE'!$A$5:$A$34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50"/>
  </cols>
  <sheetData>
    <row r="1" customFormat="false" ht="15" hidden="false" customHeight="true" outlineLevel="0" collapsed="false">
      <c r="A1" s="11" t="s">
        <v>10</v>
      </c>
    </row>
    <row r="2" customFormat="false" ht="19.5" hidden="false" customHeight="true" outlineLevel="0" collapsed="false">
      <c r="A2" s="12" t="s">
        <v>298</v>
      </c>
    </row>
    <row r="3" customFormat="false" ht="25.5" hidden="false" customHeight="true" outlineLevel="0" collapsed="false">
      <c r="A3" s="13" t="s">
        <v>299</v>
      </c>
    </row>
    <row r="5" customFormat="false" ht="27.75" hidden="false" customHeight="true" outlineLevel="0" collapsed="false">
      <c r="A5" s="21" t="s">
        <v>300</v>
      </c>
      <c r="B5" s="21" t="s">
        <v>301</v>
      </c>
      <c r="C5" s="21" t="s">
        <v>302</v>
      </c>
      <c r="D5" s="21" t="s">
        <v>303</v>
      </c>
    </row>
    <row r="6" customFormat="false" ht="15" hidden="false" customHeight="true" outlineLevel="0" collapsed="false">
      <c r="A6" s="22" t="s">
        <v>304</v>
      </c>
      <c r="B6" s="34" t="s">
        <v>150</v>
      </c>
      <c r="C6" s="31" t="s">
        <v>305</v>
      </c>
      <c r="D6" s="31" t="s">
        <v>306</v>
      </c>
    </row>
    <row r="7" customFormat="false" ht="15" hidden="false" customHeight="true" outlineLevel="0" collapsed="false">
      <c r="A7" s="22" t="s">
        <v>166</v>
      </c>
      <c r="B7" s="34" t="s">
        <v>150</v>
      </c>
      <c r="C7" s="31" t="s">
        <v>305</v>
      </c>
      <c r="D7" s="31" t="s">
        <v>307</v>
      </c>
    </row>
    <row r="8" customFormat="false" ht="15" hidden="false" customHeight="true" outlineLevel="0" collapsed="false">
      <c r="A8" s="22" t="s">
        <v>171</v>
      </c>
      <c r="B8" s="34"/>
      <c r="C8" s="31"/>
      <c r="D8" s="31"/>
    </row>
    <row r="9" customFormat="false" ht="15" hidden="false" customHeight="true" outlineLevel="0" collapsed="false">
      <c r="A9" s="22" t="s">
        <v>308</v>
      </c>
      <c r="B9" s="34"/>
      <c r="C9" s="31"/>
      <c r="D9" s="31"/>
    </row>
    <row r="10" customFormat="false" ht="15" hidden="false" customHeight="true" outlineLevel="0" collapsed="false">
      <c r="A10" s="22" t="s">
        <v>309</v>
      </c>
      <c r="B10" s="34"/>
      <c r="C10" s="31"/>
      <c r="D10" s="31"/>
    </row>
    <row r="11" customFormat="false" ht="15" hidden="false" customHeight="true" outlineLevel="0" collapsed="false">
      <c r="A11" s="22" t="s">
        <v>177</v>
      </c>
      <c r="B11" s="34"/>
      <c r="C11" s="31"/>
      <c r="D11" s="31"/>
    </row>
    <row r="12" customFormat="false" ht="15" hidden="false" customHeight="true" outlineLevel="0" collapsed="false">
      <c r="A12" s="22" t="s">
        <v>310</v>
      </c>
      <c r="B12" s="34"/>
      <c r="C12" s="31"/>
      <c r="D12" s="31"/>
    </row>
    <row r="13" customFormat="false" ht="15" hidden="false" customHeight="true" outlineLevel="0" collapsed="false">
      <c r="A13" s="22" t="s">
        <v>311</v>
      </c>
      <c r="B13" s="34"/>
      <c r="C13" s="31"/>
      <c r="D13" s="31"/>
    </row>
    <row r="14" customFormat="false" ht="15" hidden="false" customHeight="true" outlineLevel="0" collapsed="false">
      <c r="A14" s="22" t="s">
        <v>312</v>
      </c>
      <c r="B14" s="34"/>
      <c r="C14" s="31"/>
      <c r="D14" s="31" t="s">
        <v>313</v>
      </c>
    </row>
    <row r="15" customFormat="false" ht="23.25" hidden="false" customHeight="true" outlineLevel="0" collapsed="false">
      <c r="A15" s="22" t="s">
        <v>314</v>
      </c>
      <c r="B15" s="34"/>
      <c r="C15" s="31"/>
      <c r="D15" s="31" t="s">
        <v>315</v>
      </c>
    </row>
    <row r="17" customFormat="false" ht="15" hidden="false" customHeight="true" outlineLevel="0" collapsed="false">
      <c r="A17" s="14" t="s">
        <v>316</v>
      </c>
    </row>
    <row r="18" customFormat="false" ht="27.75" hidden="false" customHeight="true" outlineLevel="0" collapsed="false">
      <c r="A18" s="21" t="s">
        <v>317</v>
      </c>
      <c r="B18" s="21" t="s">
        <v>162</v>
      </c>
      <c r="C18" s="21" t="s">
        <v>136</v>
      </c>
      <c r="D18" s="21" t="s">
        <v>318</v>
      </c>
    </row>
    <row r="19" customFormat="false" ht="15" hidden="false" customHeight="true" outlineLevel="0" collapsed="false">
      <c r="A19" s="22" t="s">
        <v>319</v>
      </c>
      <c r="B19" s="31"/>
      <c r="C19" s="31"/>
      <c r="D19" s="31"/>
    </row>
    <row r="20" customFormat="false" ht="15" hidden="false" customHeight="true" outlineLevel="0" collapsed="false">
      <c r="A20" s="22" t="s">
        <v>320</v>
      </c>
      <c r="B20" s="31"/>
      <c r="C20" s="31"/>
      <c r="D20" s="31"/>
    </row>
    <row r="21" customFormat="false" ht="15" hidden="false" customHeight="true" outlineLevel="0" collapsed="false">
      <c r="A21" s="22" t="s">
        <v>321</v>
      </c>
      <c r="B21" s="31"/>
      <c r="C21" s="31"/>
      <c r="D21" s="31"/>
    </row>
    <row r="22" customFormat="false" ht="15" hidden="false" customHeight="true" outlineLevel="0" collapsed="false">
      <c r="A22" s="22" t="s">
        <v>322</v>
      </c>
      <c r="B22" s="31"/>
      <c r="C22" s="31"/>
      <c r="D22" s="31"/>
    </row>
    <row r="24" customFormat="false" ht="53.25" hidden="false" customHeight="true" outlineLevel="0" collapsed="false">
      <c r="A24" s="13" t="s">
        <v>323</v>
      </c>
    </row>
  </sheetData>
  <dataValidations count="2">
    <dataValidation allowBlank="true" errorStyle="stop" operator="between" showDropDown="false" showErrorMessage="false" showInputMessage="false" sqref="B6:B15" type="list">
      <formula1>'CARD DATABASE'!$A$5:$A$34</formula1>
      <formula2>0</formula2>
    </dataValidation>
    <dataValidation allowBlank="true" errorStyle="stop" operator="between" showDropDown="false" showErrorMessage="false" showInputMessage="false" sqref="D19:D2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44"/>
  </cols>
  <sheetData>
    <row r="1" customFormat="false" ht="15" hidden="false" customHeight="true" outlineLevel="0" collapsed="false">
      <c r="A1" s="11" t="s">
        <v>10</v>
      </c>
    </row>
    <row r="2" customFormat="false" ht="19.5" hidden="false" customHeight="true" outlineLevel="0" collapsed="false">
      <c r="A2" s="12" t="s">
        <v>324</v>
      </c>
    </row>
    <row r="3" customFormat="false" ht="25.5" hidden="false" customHeight="true" outlineLevel="0" collapsed="false">
      <c r="A3" s="13" t="s">
        <v>325</v>
      </c>
    </row>
    <row r="5" customFormat="false" ht="15" hidden="false" customHeight="true" outlineLevel="0" collapsed="false">
      <c r="A5" s="14" t="s">
        <v>326</v>
      </c>
    </row>
    <row r="6" customFormat="false" ht="15" hidden="false" customHeight="true" outlineLevel="0" collapsed="false">
      <c r="A6" s="30" t="s">
        <v>327</v>
      </c>
      <c r="B6" s="30"/>
      <c r="C6" s="30"/>
      <c r="D6" s="30"/>
      <c r="E6" s="30"/>
      <c r="F6" s="30"/>
      <c r="G6" s="30"/>
    </row>
    <row r="8" customFormat="false" ht="15" hidden="false" customHeight="true" outlineLevel="0" collapsed="false">
      <c r="A8" s="14" t="s">
        <v>328</v>
      </c>
    </row>
    <row r="9" customFormat="false" ht="27.75" hidden="false" customHeight="true" outlineLevel="0" collapsed="false">
      <c r="A9" s="21" t="s">
        <v>329</v>
      </c>
      <c r="B9" s="21" t="s">
        <v>330</v>
      </c>
      <c r="C9" s="21" t="s">
        <v>331</v>
      </c>
      <c r="D9" s="21" t="s">
        <v>332</v>
      </c>
      <c r="E9" s="21" t="s">
        <v>333</v>
      </c>
      <c r="F9" s="21" t="s">
        <v>334</v>
      </c>
      <c r="G9" s="21" t="s">
        <v>65</v>
      </c>
    </row>
    <row r="10" customFormat="false" ht="15" hidden="false" customHeight="true" outlineLevel="0" collapsed="false">
      <c r="A10" s="34" t="s">
        <v>335</v>
      </c>
      <c r="B10" s="23" t="n">
        <v>780</v>
      </c>
      <c r="C10" s="26" t="n">
        <v>180</v>
      </c>
      <c r="D10" s="47" t="n">
        <v>30000</v>
      </c>
      <c r="E10" s="48" t="n">
        <f aca="false">IF(OR(B10="",D10="",D10=0),"",ROUND((B10-IF(C10="",0,C10))/D10*100,2))</f>
        <v>2</v>
      </c>
      <c r="F10" s="35" t="str">
        <f aca="false">IF(E10="","",IF(E10&lt;1,"Weak — cash likely better",IF(E10&lt;1.5,"Okay",IF(E10&lt;2.5,"Good","Excellent"))))</f>
        <v>Good</v>
      </c>
      <c r="G10" s="31" t="s">
        <v>336</v>
      </c>
    </row>
    <row r="11" customFormat="false" ht="15" hidden="false" customHeight="true" outlineLevel="0" collapsed="false">
      <c r="A11" s="34"/>
      <c r="B11" s="23"/>
      <c r="C11" s="26"/>
      <c r="D11" s="47"/>
      <c r="E11" s="48" t="str">
        <f aca="false">IF(OR(B11="",D11="",D11=0),"",ROUND((B11-IF(C11="",0,C11))/D11*100,2))</f>
        <v/>
      </c>
      <c r="F11" s="35" t="str">
        <f aca="false">IF(E11="","",IF(E11&lt;1,"Weak — cash likely better",IF(E11&lt;1.5,"Okay",IF(E11&lt;2.5,"Good","Excellent"))))</f>
        <v/>
      </c>
      <c r="G11" s="31"/>
    </row>
    <row r="12" customFormat="false" ht="15" hidden="false" customHeight="true" outlineLevel="0" collapsed="false">
      <c r="A12" s="34"/>
      <c r="B12" s="23"/>
      <c r="C12" s="26"/>
      <c r="D12" s="47"/>
      <c r="E12" s="48" t="str">
        <f aca="false">IF(OR(B12="",D12="",D12=0),"",ROUND((B12-IF(C12="",0,C12))/D12*100,2))</f>
        <v/>
      </c>
      <c r="F12" s="35" t="str">
        <f aca="false">IF(E12="","",IF(E12&lt;1,"Weak — cash likely better",IF(E12&lt;1.5,"Okay",IF(E12&lt;2.5,"Good","Excellent"))))</f>
        <v/>
      </c>
      <c r="G12" s="31"/>
    </row>
    <row r="13" customFormat="false" ht="15" hidden="false" customHeight="true" outlineLevel="0" collapsed="false">
      <c r="A13" s="34"/>
      <c r="B13" s="23"/>
      <c r="C13" s="26"/>
      <c r="D13" s="47"/>
      <c r="E13" s="48" t="str">
        <f aca="false">IF(OR(B13="",D13="",D13=0),"",ROUND((B13-IF(C13="",0,C13))/D13*100,2))</f>
        <v/>
      </c>
      <c r="F13" s="35" t="str">
        <f aca="false">IF(E13="","",IF(E13&lt;1,"Weak — cash likely better",IF(E13&lt;1.5,"Okay",IF(E13&lt;2.5,"Good","Excellent"))))</f>
        <v/>
      </c>
      <c r="G13" s="31"/>
    </row>
    <row r="14" customFormat="false" ht="15" hidden="false" customHeight="true" outlineLevel="0" collapsed="false">
      <c r="A14" s="34"/>
      <c r="B14" s="23"/>
      <c r="C14" s="26"/>
      <c r="D14" s="47"/>
      <c r="E14" s="48" t="str">
        <f aca="false">IF(OR(B14="",D14="",D14=0),"",ROUND((B14-IF(C14="",0,C14))/D14*100,2))</f>
        <v/>
      </c>
      <c r="F14" s="35" t="str">
        <f aca="false">IF(E14="","",IF(E14&lt;1,"Weak — cash likely better",IF(E14&lt;1.5,"Okay",IF(E14&lt;2.5,"Good","Excellent"))))</f>
        <v/>
      </c>
      <c r="G14" s="31"/>
    </row>
    <row r="15" customFormat="false" ht="15" hidden="false" customHeight="true" outlineLevel="0" collapsed="false">
      <c r="A15" s="34"/>
      <c r="B15" s="23"/>
      <c r="C15" s="26"/>
      <c r="D15" s="47"/>
      <c r="E15" s="48" t="str">
        <f aca="false">IF(OR(B15="",D15="",D15=0),"",ROUND((B15-IF(C15="",0,C15))/D15*100,2))</f>
        <v/>
      </c>
      <c r="F15" s="35" t="str">
        <f aca="false">IF(E15="","",IF(E15&lt;1,"Weak — cash likely better",IF(E15&lt;1.5,"Okay",IF(E15&lt;2.5,"Good","Excellent"))))</f>
        <v/>
      </c>
      <c r="G15" s="31"/>
    </row>
    <row r="17" customFormat="false" ht="21.75" hidden="false" customHeight="true" outlineLevel="0" collapsed="false">
      <c r="A17" s="13" t="s">
        <v>337</v>
      </c>
    </row>
    <row r="19" customFormat="false" ht="15" hidden="false" customHeight="true" outlineLevel="0" collapsed="false">
      <c r="A19" s="14" t="s">
        <v>338</v>
      </c>
    </row>
    <row r="20" customFormat="false" ht="25.5" hidden="false" customHeight="true" outlineLevel="0" collapsed="false">
      <c r="A20" s="30" t="s">
        <v>339</v>
      </c>
      <c r="B20" s="30"/>
      <c r="C20" s="30"/>
      <c r="D20" s="30"/>
      <c r="E20" s="30"/>
      <c r="F20" s="30"/>
      <c r="G20" s="30"/>
    </row>
    <row r="21" customFormat="false" ht="25.5" hidden="false" customHeight="true" outlineLevel="0" collapsed="false">
      <c r="A21" s="30" t="s">
        <v>340</v>
      </c>
      <c r="B21" s="30"/>
      <c r="C21" s="30"/>
      <c r="D21" s="30"/>
      <c r="E21" s="30"/>
      <c r="F21" s="30"/>
      <c r="G21" s="30"/>
    </row>
    <row r="22" customFormat="false" ht="25.5" hidden="false" customHeight="true" outlineLevel="0" collapsed="false">
      <c r="A22" s="30" t="s">
        <v>341</v>
      </c>
      <c r="B22" s="30"/>
      <c r="C22" s="30"/>
      <c r="D22" s="30"/>
      <c r="E22" s="30"/>
      <c r="F22" s="30"/>
      <c r="G22" s="30"/>
    </row>
    <row r="23" customFormat="false" ht="25.5" hidden="false" customHeight="true" outlineLevel="0" collapsed="false">
      <c r="A23" s="30" t="s">
        <v>342</v>
      </c>
      <c r="B23" s="30"/>
      <c r="C23" s="30"/>
      <c r="D23" s="30"/>
      <c r="E23" s="30"/>
      <c r="F23" s="30"/>
      <c r="G23" s="30"/>
    </row>
  </sheetData>
  <mergeCells count="5">
    <mergeCell ref="A6:G6"/>
    <mergeCell ref="A20:G20"/>
    <mergeCell ref="A21:G21"/>
    <mergeCell ref="A22:G22"/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20"/>
    <col collapsed="false" customWidth="true" hidden="false" outlineLevel="0" max="5" min="5" style="1" width="44"/>
  </cols>
  <sheetData>
    <row r="1" customFormat="false" ht="15" hidden="false" customHeight="true" outlineLevel="0" collapsed="false">
      <c r="A1" s="11" t="s">
        <v>10</v>
      </c>
    </row>
    <row r="2" customFormat="false" ht="19.5" hidden="false" customHeight="true" outlineLevel="0" collapsed="false">
      <c r="A2" s="12" t="s">
        <v>343</v>
      </c>
    </row>
    <row r="3" customFormat="false" ht="25.5" hidden="false" customHeight="true" outlineLevel="0" collapsed="false">
      <c r="A3" s="13" t="s">
        <v>344</v>
      </c>
    </row>
    <row r="5" customFormat="false" ht="27.75" hidden="false" customHeight="true" outlineLevel="0" collapsed="false">
      <c r="A5" s="21" t="s">
        <v>345</v>
      </c>
      <c r="B5" s="21" t="s">
        <v>346</v>
      </c>
      <c r="C5" s="21"/>
      <c r="D5" s="21"/>
      <c r="E5" s="21" t="s">
        <v>65</v>
      </c>
    </row>
    <row r="6" customFormat="false" ht="15" hidden="false" customHeight="true" outlineLevel="0" collapsed="false">
      <c r="A6" s="22" t="s">
        <v>347</v>
      </c>
      <c r="B6" s="34" t="s">
        <v>348</v>
      </c>
      <c r="C6" s="34"/>
      <c r="D6" s="34"/>
    </row>
    <row r="7" customFormat="false" ht="15" hidden="false" customHeight="true" outlineLevel="0" collapsed="false">
      <c r="A7" s="22" t="s">
        <v>349</v>
      </c>
      <c r="B7" s="31" t="s">
        <v>350</v>
      </c>
      <c r="C7" s="31"/>
      <c r="D7" s="31"/>
    </row>
    <row r="8" customFormat="false" ht="15" hidden="false" customHeight="true" outlineLevel="0" collapsed="false">
      <c r="A8" s="22" t="s">
        <v>351</v>
      </c>
      <c r="B8" s="31"/>
      <c r="C8" s="31"/>
      <c r="D8" s="31"/>
    </row>
    <row r="9" customFormat="false" ht="15" hidden="false" customHeight="true" outlineLevel="0" collapsed="false">
      <c r="A9" s="22" t="s">
        <v>352</v>
      </c>
      <c r="B9" s="31" t="s">
        <v>353</v>
      </c>
      <c r="C9" s="31"/>
      <c r="D9" s="31"/>
    </row>
    <row r="10" customFormat="false" ht="15" hidden="false" customHeight="true" outlineLevel="0" collapsed="false">
      <c r="A10" s="22" t="s">
        <v>354</v>
      </c>
      <c r="B10" s="31"/>
      <c r="C10" s="31"/>
      <c r="D10" s="31"/>
    </row>
    <row r="11" customFormat="false" ht="15" hidden="false" customHeight="true" outlineLevel="0" collapsed="false">
      <c r="A11" s="22" t="s">
        <v>355</v>
      </c>
      <c r="B11" s="31" t="s">
        <v>356</v>
      </c>
      <c r="C11" s="31"/>
      <c r="D11" s="31"/>
    </row>
    <row r="12" customFormat="false" ht="15" hidden="false" customHeight="true" outlineLevel="0" collapsed="false">
      <c r="A12" s="22" t="s">
        <v>357</v>
      </c>
      <c r="B12" s="31" t="s">
        <v>358</v>
      </c>
      <c r="C12" s="31"/>
      <c r="D12" s="31"/>
    </row>
    <row r="13" customFormat="false" ht="15" hidden="false" customHeight="true" outlineLevel="0" collapsed="false">
      <c r="A13" s="22" t="s">
        <v>359</v>
      </c>
      <c r="B13" s="31" t="s">
        <v>360</v>
      </c>
      <c r="C13" s="31"/>
      <c r="D13" s="31"/>
    </row>
    <row r="15" customFormat="false" ht="15" hidden="false" customHeight="true" outlineLevel="0" collapsed="false">
      <c r="A15" s="14" t="s">
        <v>361</v>
      </c>
    </row>
    <row r="16" customFormat="false" ht="27.75" hidden="false" customHeight="true" outlineLevel="0" collapsed="false">
      <c r="A16" s="21" t="s">
        <v>362</v>
      </c>
      <c r="B16" s="21" t="s">
        <v>363</v>
      </c>
      <c r="C16" s="21" t="s">
        <v>364</v>
      </c>
      <c r="D16" s="21" t="s">
        <v>365</v>
      </c>
      <c r="E16" s="21" t="s">
        <v>65</v>
      </c>
    </row>
    <row r="17" customFormat="false" ht="15" hidden="false" customHeight="true" outlineLevel="0" collapsed="false">
      <c r="A17" s="34" t="s">
        <v>366</v>
      </c>
      <c r="B17" s="49" t="n">
        <v>62000</v>
      </c>
      <c r="C17" s="50" t="n">
        <v>1.5</v>
      </c>
      <c r="D17" s="24" t="n">
        <f aca="false">IF(OR(B17="",C17=""),"",B17*C17/100)</f>
        <v>930</v>
      </c>
      <c r="E17" s="31"/>
    </row>
    <row r="18" customFormat="false" ht="15" hidden="false" customHeight="true" outlineLevel="0" collapsed="false">
      <c r="A18" s="34"/>
      <c r="B18" s="49"/>
      <c r="C18" s="50"/>
      <c r="D18" s="24" t="str">
        <f aca="false">IF(OR(B18="",C18=""),"",B18*C18/100)</f>
        <v/>
      </c>
      <c r="E18" s="31"/>
    </row>
    <row r="19" customFormat="false" ht="15" hidden="false" customHeight="true" outlineLevel="0" collapsed="false">
      <c r="A19" s="34"/>
      <c r="B19" s="49"/>
      <c r="C19" s="50"/>
      <c r="D19" s="24" t="str">
        <f aca="false">IF(OR(B19="",C19=""),"",B19*C19/100)</f>
        <v/>
      </c>
      <c r="E19" s="31"/>
    </row>
    <row r="20" customFormat="false" ht="15" hidden="false" customHeight="true" outlineLevel="0" collapsed="false">
      <c r="A20" s="34"/>
      <c r="B20" s="49"/>
      <c r="C20" s="50"/>
      <c r="D20" s="24" t="str">
        <f aca="false">IF(OR(B20="",C20=""),"",B20*C20/100)</f>
        <v/>
      </c>
      <c r="E20" s="31"/>
    </row>
    <row r="21" customFormat="false" ht="15" hidden="false" customHeight="true" outlineLevel="0" collapsed="false">
      <c r="A21" s="34"/>
      <c r="B21" s="49"/>
      <c r="C21" s="50"/>
      <c r="D21" s="24" t="str">
        <f aca="false">IF(OR(B21="",C21=""),"",B21*C21/100)</f>
        <v/>
      </c>
      <c r="E21" s="31"/>
    </row>
    <row r="23" customFormat="false" ht="15" hidden="false" customHeight="true" outlineLevel="0" collapsed="false">
      <c r="A23" s="14" t="s">
        <v>367</v>
      </c>
    </row>
    <row r="24" customFormat="false" ht="27.75" hidden="false" customHeight="true" outlineLevel="0" collapsed="false">
      <c r="A24" s="21" t="s">
        <v>368</v>
      </c>
      <c r="B24" s="21" t="s">
        <v>369</v>
      </c>
      <c r="C24" s="21" t="s">
        <v>370</v>
      </c>
      <c r="D24" s="21" t="s">
        <v>371</v>
      </c>
      <c r="E24" s="21" t="s">
        <v>372</v>
      </c>
      <c r="F24" s="21" t="s">
        <v>373</v>
      </c>
      <c r="G24" s="21" t="s">
        <v>374</v>
      </c>
    </row>
    <row r="25" customFormat="false" ht="57" hidden="false" customHeight="true" outlineLevel="0" collapsed="false">
      <c r="A25" s="34" t="s">
        <v>375</v>
      </c>
      <c r="B25" s="31" t="s">
        <v>376</v>
      </c>
      <c r="C25" s="31" t="s">
        <v>377</v>
      </c>
      <c r="D25" s="47" t="n">
        <v>25000</v>
      </c>
      <c r="E25" s="49" t="n">
        <v>11000</v>
      </c>
      <c r="F25" s="51" t="n">
        <f aca="false">IF(D25="","",MAX(0,D25-IF(E25="",0,E25)))</f>
        <v>14000</v>
      </c>
      <c r="G25" s="31" t="s">
        <v>378</v>
      </c>
    </row>
    <row r="26" customFormat="false" ht="15" hidden="false" customHeight="true" outlineLevel="0" collapsed="false">
      <c r="A26" s="34"/>
      <c r="B26" s="31"/>
      <c r="C26" s="31"/>
      <c r="D26" s="47"/>
      <c r="E26" s="49"/>
      <c r="F26" s="51" t="str">
        <f aca="false">IF(D26="","",MAX(0,D26-IF(E26="",0,E26)))</f>
        <v/>
      </c>
      <c r="G26" s="31"/>
    </row>
    <row r="27" customFormat="false" ht="15" hidden="false" customHeight="true" outlineLevel="0" collapsed="false">
      <c r="A27" s="34"/>
      <c r="B27" s="31"/>
      <c r="C27" s="31"/>
      <c r="D27" s="47"/>
      <c r="E27" s="49"/>
      <c r="F27" s="51" t="str">
        <f aca="false">IF(D27="","",MAX(0,D27-IF(E27="",0,E27)))</f>
        <v/>
      </c>
      <c r="G27" s="31"/>
    </row>
    <row r="28" customFormat="false" ht="15" hidden="false" customHeight="true" outlineLevel="0" collapsed="false">
      <c r="A28" s="34"/>
      <c r="B28" s="31"/>
      <c r="C28" s="31"/>
      <c r="D28" s="47"/>
      <c r="E28" s="49"/>
      <c r="F28" s="51" t="str">
        <f aca="false">IF(D28="","",MAX(0,D28-IF(E28="",0,E28)))</f>
        <v/>
      </c>
      <c r="G28" s="31"/>
    </row>
    <row r="30" customFormat="false" ht="74.25" hidden="false" customHeight="true" outlineLevel="0" collapsed="false">
      <c r="A30" s="13" t="s">
        <v>379</v>
      </c>
    </row>
  </sheetData>
  <mergeCells count="8">
    <mergeCell ref="B6:D6"/>
    <mergeCell ref="B7:D7"/>
    <mergeCell ref="B8:D8"/>
    <mergeCell ref="B9:D9"/>
    <mergeCell ref="B10:D10"/>
    <mergeCell ref="B11:D11"/>
    <mergeCell ref="B12:D12"/>
    <mergeCell ref="B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6" min="2" style="1" width="22"/>
    <col collapsed="false" customWidth="true" hidden="false" outlineLevel="0" max="7" min="7" style="1" width="14"/>
    <col collapsed="false" customWidth="true" hidden="false" outlineLevel="0" max="8" min="8" style="1" width="30"/>
  </cols>
  <sheetData>
    <row r="1" customFormat="false" ht="15" hidden="false" customHeight="true" outlineLevel="0" collapsed="false">
      <c r="A1" s="11" t="s">
        <v>10</v>
      </c>
    </row>
    <row r="2" customFormat="false" ht="19.5" hidden="false" customHeight="true" outlineLevel="0" collapsed="false">
      <c r="A2" s="12" t="s">
        <v>380</v>
      </c>
    </row>
    <row r="3" customFormat="false" ht="25.5" hidden="false" customHeight="true" outlineLevel="0" collapsed="false">
      <c r="A3" s="13" t="s">
        <v>381</v>
      </c>
    </row>
    <row r="5" customFormat="false" ht="27.75" hidden="false" customHeight="true" outlineLevel="0" collapsed="false">
      <c r="A5" s="21" t="s">
        <v>382</v>
      </c>
      <c r="B5" s="21" t="s">
        <v>383</v>
      </c>
      <c r="C5" s="21" t="s">
        <v>384</v>
      </c>
      <c r="D5" s="21" t="s">
        <v>385</v>
      </c>
      <c r="E5" s="21" t="s">
        <v>386</v>
      </c>
      <c r="F5" s="21" t="s">
        <v>387</v>
      </c>
      <c r="G5" s="21" t="s">
        <v>388</v>
      </c>
      <c r="H5" s="21" t="s">
        <v>65</v>
      </c>
    </row>
    <row r="6" customFormat="false" ht="25.5" hidden="false" customHeight="true" outlineLevel="0" collapsed="false">
      <c r="A6" s="22" t="s">
        <v>389</v>
      </c>
      <c r="B6" s="31" t="s">
        <v>390</v>
      </c>
      <c r="C6" s="31" t="s">
        <v>391</v>
      </c>
      <c r="D6" s="31" t="s">
        <v>392</v>
      </c>
      <c r="E6" s="31" t="s">
        <v>393</v>
      </c>
      <c r="F6" s="31" t="s">
        <v>394</v>
      </c>
      <c r="G6" s="31" t="s">
        <v>395</v>
      </c>
      <c r="H6" s="31"/>
    </row>
    <row r="7" customFormat="false" ht="25.5" hidden="false" customHeight="true" outlineLevel="0" collapsed="false">
      <c r="A7" s="22" t="s">
        <v>396</v>
      </c>
      <c r="B7" s="31"/>
      <c r="C7" s="31"/>
      <c r="D7" s="31"/>
      <c r="E7" s="31"/>
      <c r="F7" s="31"/>
      <c r="G7" s="31"/>
      <c r="H7" s="31"/>
    </row>
    <row r="8" customFormat="false" ht="25.5" hidden="false" customHeight="true" outlineLevel="0" collapsed="false">
      <c r="A8" s="22" t="s">
        <v>397</v>
      </c>
      <c r="B8" s="31"/>
      <c r="C8" s="31"/>
      <c r="D8" s="31"/>
      <c r="E8" s="31"/>
      <c r="F8" s="31"/>
      <c r="G8" s="31"/>
      <c r="H8" s="31"/>
    </row>
    <row r="9" customFormat="false" ht="25.5" hidden="false" customHeight="true" outlineLevel="0" collapsed="false">
      <c r="A9" s="22" t="s">
        <v>398</v>
      </c>
      <c r="B9" s="31"/>
      <c r="C9" s="31"/>
      <c r="D9" s="31"/>
      <c r="E9" s="31"/>
      <c r="F9" s="31"/>
      <c r="G9" s="31"/>
      <c r="H9" s="31"/>
    </row>
    <row r="10" customFormat="false" ht="25.5" hidden="false" customHeight="true" outlineLevel="0" collapsed="false">
      <c r="A10" s="22" t="s">
        <v>399</v>
      </c>
      <c r="B10" s="31"/>
      <c r="C10" s="31"/>
      <c r="D10" s="31"/>
      <c r="E10" s="31"/>
      <c r="F10" s="31"/>
      <c r="G10" s="31"/>
      <c r="H10" s="31"/>
    </row>
    <row r="11" customFormat="false" ht="25.5" hidden="false" customHeight="true" outlineLevel="0" collapsed="false">
      <c r="A11" s="22" t="s">
        <v>400</v>
      </c>
      <c r="B11" s="31"/>
      <c r="C11" s="31"/>
      <c r="D11" s="31"/>
      <c r="E11" s="31"/>
      <c r="F11" s="31"/>
      <c r="G11" s="31"/>
      <c r="H11" s="31"/>
    </row>
    <row r="12" customFormat="false" ht="25.5" hidden="false" customHeight="true" outlineLevel="0" collapsed="false">
      <c r="A12" s="22" t="s">
        <v>401</v>
      </c>
      <c r="B12" s="31"/>
      <c r="C12" s="31"/>
      <c r="D12" s="31"/>
      <c r="E12" s="31"/>
      <c r="F12" s="31"/>
      <c r="G12" s="31"/>
      <c r="H12" s="31"/>
    </row>
    <row r="13" customFormat="false" ht="25.5" hidden="false" customHeight="true" outlineLevel="0" collapsed="false">
      <c r="A13" s="22" t="s">
        <v>402</v>
      </c>
      <c r="B13" s="31"/>
      <c r="C13" s="31"/>
      <c r="D13" s="31"/>
      <c r="E13" s="31"/>
      <c r="F13" s="31"/>
      <c r="G13" s="31"/>
      <c r="H13" s="31"/>
    </row>
    <row r="14" customFormat="false" ht="25.5" hidden="false" customHeight="true" outlineLevel="0" collapsed="false">
      <c r="A14" s="22" t="s">
        <v>403</v>
      </c>
      <c r="B14" s="31"/>
      <c r="C14" s="31"/>
      <c r="D14" s="31"/>
      <c r="E14" s="31"/>
      <c r="F14" s="31"/>
      <c r="G14" s="31"/>
      <c r="H14" s="31"/>
    </row>
    <row r="15" customFormat="false" ht="25.5" hidden="false" customHeight="true" outlineLevel="0" collapsed="false">
      <c r="A15" s="22" t="s">
        <v>404</v>
      </c>
      <c r="B15" s="31"/>
      <c r="C15" s="31"/>
      <c r="D15" s="31"/>
      <c r="E15" s="31"/>
      <c r="F15" s="31"/>
      <c r="G15" s="31"/>
      <c r="H15" s="31"/>
    </row>
    <row r="16" customFormat="false" ht="25.5" hidden="false" customHeight="true" outlineLevel="0" collapsed="false">
      <c r="A16" s="22" t="s">
        <v>405</v>
      </c>
      <c r="B16" s="31"/>
      <c r="C16" s="31"/>
      <c r="D16" s="31"/>
      <c r="E16" s="31"/>
      <c r="F16" s="31"/>
      <c r="G16" s="31"/>
      <c r="H16" s="31"/>
    </row>
    <row r="17" customFormat="false" ht="25.5" hidden="false" customHeight="true" outlineLevel="0" collapsed="false">
      <c r="A17" s="22" t="s">
        <v>406</v>
      </c>
      <c r="B17" s="31"/>
      <c r="C17" s="31"/>
      <c r="D17" s="31"/>
      <c r="E17" s="31"/>
      <c r="F17" s="31"/>
      <c r="G17" s="31"/>
      <c r="H17" s="31"/>
    </row>
    <row r="19" customFormat="false" ht="157.5" hidden="false" customHeight="true" outlineLevel="0" collapsed="false">
      <c r="A19" s="13" t="s">
        <v>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40"/>
  </cols>
  <sheetData>
    <row r="1" customFormat="false" ht="15" hidden="false" customHeight="true" outlineLevel="0" collapsed="false">
      <c r="A1" s="11" t="s">
        <v>10</v>
      </c>
    </row>
    <row r="2" customFormat="false" ht="19.5" hidden="false" customHeight="true" outlineLevel="0" collapsed="false">
      <c r="A2" s="12" t="s">
        <v>408</v>
      </c>
    </row>
    <row r="3" customFormat="false" ht="25.5" hidden="false" customHeight="true" outlineLevel="0" collapsed="false">
      <c r="A3" s="13" t="s">
        <v>409</v>
      </c>
    </row>
    <row r="5" customFormat="false" ht="27.75" hidden="false" customHeight="true" outlineLevel="0" collapsed="false">
      <c r="A5" s="21" t="s">
        <v>410</v>
      </c>
      <c r="B5" s="21" t="s">
        <v>411</v>
      </c>
      <c r="C5" s="21" t="s">
        <v>412</v>
      </c>
      <c r="D5" s="21" t="s">
        <v>413</v>
      </c>
    </row>
    <row r="6" customFormat="false" ht="33.75" hidden="false" customHeight="true" outlineLevel="0" collapsed="false">
      <c r="A6" s="22" t="s">
        <v>414</v>
      </c>
      <c r="B6" s="31" t="s">
        <v>415</v>
      </c>
      <c r="C6" s="31" t="s">
        <v>416</v>
      </c>
      <c r="D6" s="31" t="s">
        <v>417</v>
      </c>
    </row>
    <row r="7" customFormat="false" ht="33.75" hidden="false" customHeight="true" outlineLevel="0" collapsed="false">
      <c r="A7" s="22" t="s">
        <v>418</v>
      </c>
      <c r="B7" s="31"/>
      <c r="C7" s="31"/>
      <c r="D7" s="31"/>
    </row>
    <row r="8" customFormat="false" ht="33.75" hidden="false" customHeight="true" outlineLevel="0" collapsed="false">
      <c r="A8" s="22" t="s">
        <v>419</v>
      </c>
      <c r="B8" s="31"/>
      <c r="C8" s="31"/>
      <c r="D8" s="31"/>
    </row>
    <row r="10" customFormat="false" ht="27.75" hidden="false" customHeight="true" outlineLevel="0" collapsed="false">
      <c r="A10" s="21" t="s">
        <v>420</v>
      </c>
      <c r="B10" s="21" t="s">
        <v>421</v>
      </c>
      <c r="C10" s="21" t="s">
        <v>422</v>
      </c>
      <c r="D10" s="21" t="s">
        <v>423</v>
      </c>
    </row>
    <row r="11" customFormat="false" ht="23.25" hidden="false" customHeight="true" outlineLevel="0" collapsed="false">
      <c r="A11" s="34" t="s">
        <v>424</v>
      </c>
      <c r="B11" s="31" t="s">
        <v>425</v>
      </c>
      <c r="C11" s="26" t="n">
        <v>900</v>
      </c>
      <c r="D11" s="31" t="s">
        <v>426</v>
      </c>
    </row>
    <row r="12" customFormat="false" ht="15" hidden="false" customHeight="true" outlineLevel="0" collapsed="false">
      <c r="A12" s="34"/>
      <c r="B12" s="31"/>
      <c r="C12" s="26"/>
      <c r="D12" s="31"/>
    </row>
    <row r="13" customFormat="false" ht="15" hidden="false" customHeight="true" outlineLevel="0" collapsed="false">
      <c r="A13" s="34"/>
      <c r="B13" s="31"/>
      <c r="C13" s="26"/>
      <c r="D13" s="31"/>
    </row>
    <row r="14" customFormat="false" ht="15" hidden="false" customHeight="true" outlineLevel="0" collapsed="false">
      <c r="A14" s="34"/>
      <c r="B14" s="31"/>
      <c r="C14" s="26"/>
      <c r="D14" s="31"/>
    </row>
    <row r="16" customFormat="false" ht="63.75" hidden="false" customHeight="true" outlineLevel="0" collapsed="false">
      <c r="A16" s="13" t="s">
        <v>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4"/>
    <col collapsed="false" customWidth="true" hidden="false" outlineLevel="0" max="2" min="2" style="1" width="14"/>
    <col collapsed="false" customWidth="true" hidden="false" outlineLevel="0" max="3" min="3" style="1" width="44"/>
  </cols>
  <sheetData>
    <row r="1" customFormat="false" ht="15" hidden="false" customHeight="true" outlineLevel="0" collapsed="false">
      <c r="A1" s="11" t="s">
        <v>428</v>
      </c>
    </row>
    <row r="2" customFormat="false" ht="19.5" hidden="false" customHeight="true" outlineLevel="0" collapsed="false">
      <c r="A2" s="12" t="s">
        <v>429</v>
      </c>
    </row>
    <row r="3" customFormat="false" ht="25.5" hidden="false" customHeight="true" outlineLevel="0" collapsed="false">
      <c r="A3" s="13" t="s">
        <v>430</v>
      </c>
    </row>
    <row r="5" customFormat="false" ht="27.75" hidden="false" customHeight="true" outlineLevel="0" collapsed="false">
      <c r="A5" s="21" t="s">
        <v>431</v>
      </c>
      <c r="B5" s="21" t="s">
        <v>432</v>
      </c>
      <c r="C5" s="21" t="s">
        <v>433</v>
      </c>
    </row>
    <row r="6" customFormat="false" ht="27.75" hidden="false" customHeight="true" outlineLevel="0" collapsed="false">
      <c r="A6" s="22" t="s">
        <v>434</v>
      </c>
      <c r="B6" s="34"/>
      <c r="C6" s="25" t="s">
        <v>435</v>
      </c>
    </row>
    <row r="7" customFormat="false" ht="27.75" hidden="false" customHeight="true" outlineLevel="0" collapsed="false">
      <c r="A7" s="22" t="s">
        <v>436</v>
      </c>
      <c r="B7" s="34"/>
      <c r="C7" s="25" t="s">
        <v>437</v>
      </c>
    </row>
    <row r="8" customFormat="false" ht="27.75" hidden="false" customHeight="true" outlineLevel="0" collapsed="false">
      <c r="A8" s="22" t="s">
        <v>438</v>
      </c>
      <c r="B8" s="34"/>
      <c r="C8" s="25" t="s">
        <v>439</v>
      </c>
    </row>
    <row r="9" customFormat="false" ht="27.75" hidden="false" customHeight="true" outlineLevel="0" collapsed="false">
      <c r="A9" s="22" t="s">
        <v>440</v>
      </c>
      <c r="B9" s="34"/>
      <c r="C9" s="25" t="s">
        <v>441</v>
      </c>
    </row>
    <row r="10" customFormat="false" ht="27.75" hidden="false" customHeight="true" outlineLevel="0" collapsed="false">
      <c r="A10" s="22" t="s">
        <v>442</v>
      </c>
      <c r="B10" s="34"/>
      <c r="C10" s="25" t="s">
        <v>443</v>
      </c>
    </row>
    <row r="11" customFormat="false" ht="27.75" hidden="false" customHeight="true" outlineLevel="0" collapsed="false">
      <c r="A11" s="22" t="s">
        <v>444</v>
      </c>
      <c r="B11" s="34"/>
      <c r="C11" s="25" t="s">
        <v>445</v>
      </c>
    </row>
    <row r="12" customFormat="false" ht="27.75" hidden="false" customHeight="true" outlineLevel="0" collapsed="false">
      <c r="A12" s="22" t="s">
        <v>446</v>
      </c>
      <c r="B12" s="34"/>
      <c r="C12" s="25" t="s">
        <v>447</v>
      </c>
    </row>
    <row r="13" customFormat="false" ht="27.75" hidden="false" customHeight="true" outlineLevel="0" collapsed="false">
      <c r="A13" s="22" t="s">
        <v>448</v>
      </c>
      <c r="B13" s="34"/>
      <c r="C13" s="25" t="s">
        <v>449</v>
      </c>
    </row>
    <row r="14" customFormat="false" ht="27.75" hidden="false" customHeight="true" outlineLevel="0" collapsed="false">
      <c r="A14" s="22" t="s">
        <v>450</v>
      </c>
      <c r="B14" s="34"/>
      <c r="C14" s="25" t="s">
        <v>451</v>
      </c>
    </row>
    <row r="15" customFormat="false" ht="27.75" hidden="false" customHeight="true" outlineLevel="0" collapsed="false">
      <c r="A15" s="22" t="s">
        <v>452</v>
      </c>
      <c r="B15" s="34"/>
      <c r="C15" s="25" t="s">
        <v>453</v>
      </c>
    </row>
    <row r="16" customFormat="false" ht="15" hidden="false" customHeight="true" outlineLevel="0" collapsed="false">
      <c r="A16" s="22" t="s">
        <v>454</v>
      </c>
      <c r="B16" s="35" t="str">
        <f aca="false">COUNTIF(B6:B15,"I agree")&amp;" / 10"</f>
        <v>0 / 10</v>
      </c>
    </row>
  </sheetData>
  <dataValidations count="1">
    <dataValidation allowBlank="true" errorStyle="stop" operator="between" showDropDown="false" showErrorMessage="false" showInputMessage="false" sqref="B6:B15" type="list">
      <formula1>"I agree"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5" min="5" style="1" width="36"/>
    <col collapsed="false" customWidth="true" hidden="false" outlineLevel="0" max="6" min="6" style="1" width="18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32"/>
    <col collapsed="false" customWidth="true" hidden="false" outlineLevel="0" max="10" min="10" style="1" width="38"/>
    <col collapsed="false" customWidth="true" hidden="false" outlineLevel="0" max="11" min="11" style="1" width="50"/>
  </cols>
  <sheetData>
    <row r="1" customFormat="false" ht="19.5" hidden="false" customHeight="true" outlineLevel="0" collapsed="false">
      <c r="A1" s="12" t="s">
        <v>455</v>
      </c>
    </row>
    <row r="2" customFormat="false" ht="63.75" hidden="false" customHeight="true" outlineLevel="0" collapsed="false">
      <c r="A2" s="13" t="s">
        <v>456</v>
      </c>
    </row>
    <row r="4" customFormat="false" ht="27.75" hidden="false" customHeight="true" outlineLevel="0" collapsed="false">
      <c r="A4" s="21" t="s">
        <v>136</v>
      </c>
      <c r="B4" s="21" t="s">
        <v>457</v>
      </c>
      <c r="C4" s="21" t="s">
        <v>458</v>
      </c>
      <c r="D4" s="21" t="s">
        <v>459</v>
      </c>
      <c r="E4" s="21" t="s">
        <v>460</v>
      </c>
      <c r="F4" s="21" t="s">
        <v>461</v>
      </c>
      <c r="G4" s="21" t="s">
        <v>462</v>
      </c>
      <c r="H4" s="21" t="s">
        <v>463</v>
      </c>
      <c r="I4" s="21" t="s">
        <v>464</v>
      </c>
      <c r="J4" s="21" t="s">
        <v>465</v>
      </c>
      <c r="K4" s="21" t="s">
        <v>466</v>
      </c>
    </row>
    <row r="5" customFormat="false" ht="23.25" hidden="false" customHeight="true" outlineLevel="0" collapsed="false">
      <c r="A5" s="52" t="s">
        <v>280</v>
      </c>
      <c r="B5" s="52" t="s">
        <v>467</v>
      </c>
      <c r="C5" s="52" t="s">
        <v>468</v>
      </c>
      <c r="D5" s="53" t="n">
        <v>95</v>
      </c>
      <c r="E5" s="52" t="s">
        <v>469</v>
      </c>
      <c r="F5" s="52" t="s">
        <v>470</v>
      </c>
      <c r="G5" s="52" t="s">
        <v>471</v>
      </c>
      <c r="H5" s="52" t="s">
        <v>472</v>
      </c>
      <c r="I5" s="52" t="s">
        <v>473</v>
      </c>
      <c r="J5" s="52" t="s">
        <v>474</v>
      </c>
      <c r="K5" s="52" t="s">
        <v>475</v>
      </c>
    </row>
    <row r="6" customFormat="false" ht="23.25" hidden="false" customHeight="true" outlineLevel="0" collapsed="false">
      <c r="A6" s="30" t="s">
        <v>476</v>
      </c>
      <c r="B6" s="30" t="s">
        <v>467</v>
      </c>
      <c r="C6" s="30" t="s">
        <v>468</v>
      </c>
      <c r="D6" s="54" t="n">
        <v>795</v>
      </c>
      <c r="E6" s="30" t="s">
        <v>477</v>
      </c>
      <c r="F6" s="30" t="s">
        <v>470</v>
      </c>
      <c r="G6" s="30" t="s">
        <v>471</v>
      </c>
      <c r="H6" s="30" t="s">
        <v>478</v>
      </c>
      <c r="I6" s="30" t="s">
        <v>479</v>
      </c>
      <c r="J6" s="30" t="s">
        <v>480</v>
      </c>
      <c r="K6" s="30" t="s">
        <v>481</v>
      </c>
    </row>
    <row r="7" customFormat="false" ht="23.25" hidden="false" customHeight="true" outlineLevel="0" collapsed="false">
      <c r="A7" s="52" t="s">
        <v>150</v>
      </c>
      <c r="B7" s="52" t="s">
        <v>482</v>
      </c>
      <c r="C7" s="52" t="s">
        <v>468</v>
      </c>
      <c r="D7" s="53" t="n">
        <v>325</v>
      </c>
      <c r="E7" s="52" t="s">
        <v>483</v>
      </c>
      <c r="F7" s="52" t="s">
        <v>484</v>
      </c>
      <c r="G7" s="52" t="s">
        <v>471</v>
      </c>
      <c r="H7" s="52" t="s">
        <v>478</v>
      </c>
      <c r="I7" s="52" t="s">
        <v>153</v>
      </c>
      <c r="J7" s="52" t="s">
        <v>485</v>
      </c>
      <c r="K7" s="52" t="s">
        <v>486</v>
      </c>
    </row>
    <row r="8" customFormat="false" ht="23.25" hidden="false" customHeight="true" outlineLevel="0" collapsed="false">
      <c r="A8" s="30" t="s">
        <v>487</v>
      </c>
      <c r="B8" s="30" t="s">
        <v>482</v>
      </c>
      <c r="C8" s="30" t="s">
        <v>468</v>
      </c>
      <c r="D8" s="54" t="n">
        <v>895</v>
      </c>
      <c r="E8" s="30" t="s">
        <v>488</v>
      </c>
      <c r="F8" s="30" t="s">
        <v>489</v>
      </c>
      <c r="G8" s="30" t="s">
        <v>471</v>
      </c>
      <c r="H8" s="30" t="s">
        <v>478</v>
      </c>
      <c r="I8" s="30" t="s">
        <v>490</v>
      </c>
      <c r="J8" s="30" t="s">
        <v>491</v>
      </c>
      <c r="K8" s="30" t="s">
        <v>492</v>
      </c>
    </row>
    <row r="9" customFormat="false" ht="23.25" hidden="false" customHeight="true" outlineLevel="0" collapsed="false">
      <c r="A9" s="52" t="s">
        <v>493</v>
      </c>
      <c r="B9" s="52" t="s">
        <v>482</v>
      </c>
      <c r="C9" s="52" t="s">
        <v>468</v>
      </c>
      <c r="D9" s="53" t="n">
        <v>895</v>
      </c>
      <c r="E9" s="52" t="s">
        <v>494</v>
      </c>
      <c r="F9" s="52" t="s">
        <v>495</v>
      </c>
      <c r="G9" s="52" t="s">
        <v>471</v>
      </c>
      <c r="H9" s="52" t="s">
        <v>496</v>
      </c>
      <c r="I9" s="52" t="s">
        <v>497</v>
      </c>
      <c r="J9" s="52" t="s">
        <v>498</v>
      </c>
      <c r="K9" s="52" t="s">
        <v>499</v>
      </c>
    </row>
    <row r="10" customFormat="false" ht="15" hidden="false" customHeight="true" outlineLevel="0" collapsed="false">
      <c r="A10" s="30" t="s">
        <v>500</v>
      </c>
      <c r="B10" s="30" t="s">
        <v>501</v>
      </c>
      <c r="C10" s="30" t="s">
        <v>468</v>
      </c>
      <c r="D10" s="54" t="n">
        <v>395</v>
      </c>
      <c r="E10" s="30" t="s">
        <v>502</v>
      </c>
      <c r="F10" s="30" t="s">
        <v>503</v>
      </c>
      <c r="G10" s="30" t="s">
        <v>471</v>
      </c>
      <c r="H10" s="30" t="s">
        <v>472</v>
      </c>
      <c r="I10" s="30" t="s">
        <v>504</v>
      </c>
      <c r="J10" s="30" t="s">
        <v>505</v>
      </c>
      <c r="K10" s="30" t="s">
        <v>506</v>
      </c>
    </row>
    <row r="11" customFormat="false" ht="15" hidden="false" customHeight="true" outlineLevel="0" collapsed="false">
      <c r="A11" s="52" t="s">
        <v>507</v>
      </c>
      <c r="B11" s="52" t="s">
        <v>501</v>
      </c>
      <c r="C11" s="52" t="s">
        <v>468</v>
      </c>
      <c r="D11" s="53" t="n">
        <v>95</v>
      </c>
      <c r="E11" s="52" t="s">
        <v>494</v>
      </c>
      <c r="F11" s="52" t="s">
        <v>503</v>
      </c>
      <c r="G11" s="52" t="s">
        <v>471</v>
      </c>
      <c r="H11" s="52" t="s">
        <v>496</v>
      </c>
      <c r="I11" s="52" t="s">
        <v>508</v>
      </c>
      <c r="J11" s="52" t="s">
        <v>509</v>
      </c>
      <c r="K11" s="52" t="s">
        <v>510</v>
      </c>
    </row>
    <row r="12" customFormat="false" ht="15" hidden="false" customHeight="true" outlineLevel="0" collapsed="false">
      <c r="A12" s="30" t="s">
        <v>511</v>
      </c>
      <c r="B12" s="30" t="s">
        <v>501</v>
      </c>
      <c r="C12" s="30" t="s">
        <v>468</v>
      </c>
      <c r="D12" s="54" t="n">
        <v>0</v>
      </c>
      <c r="E12" s="30" t="s">
        <v>512</v>
      </c>
      <c r="F12" s="30" t="s">
        <v>513</v>
      </c>
      <c r="G12" s="30" t="s">
        <v>471</v>
      </c>
      <c r="H12" s="30" t="s">
        <v>472</v>
      </c>
      <c r="I12" s="30" t="s">
        <v>514</v>
      </c>
      <c r="J12" s="30" t="s">
        <v>515</v>
      </c>
      <c r="K12" s="30" t="s">
        <v>496</v>
      </c>
    </row>
    <row r="13" customFormat="false" ht="15" hidden="false" customHeight="true" outlineLevel="0" collapsed="false">
      <c r="A13" s="52" t="s">
        <v>516</v>
      </c>
      <c r="B13" s="52" t="s">
        <v>517</v>
      </c>
      <c r="C13" s="52" t="s">
        <v>468</v>
      </c>
      <c r="D13" s="53" t="n">
        <v>95</v>
      </c>
      <c r="E13" s="52" t="s">
        <v>494</v>
      </c>
      <c r="F13" s="52" t="s">
        <v>518</v>
      </c>
      <c r="G13" s="52" t="s">
        <v>471</v>
      </c>
      <c r="H13" s="52" t="s">
        <v>496</v>
      </c>
      <c r="I13" s="52" t="s">
        <v>519</v>
      </c>
      <c r="J13" s="52" t="s">
        <v>520</v>
      </c>
      <c r="K13" s="52" t="s">
        <v>521</v>
      </c>
    </row>
    <row r="14" customFormat="false" ht="15" hidden="false" customHeight="true" outlineLevel="0" collapsed="false">
      <c r="A14" s="30" t="s">
        <v>522</v>
      </c>
      <c r="B14" s="30" t="s">
        <v>523</v>
      </c>
      <c r="C14" s="30" t="s">
        <v>468</v>
      </c>
      <c r="D14" s="54" t="n">
        <v>95</v>
      </c>
      <c r="E14" s="30" t="s">
        <v>494</v>
      </c>
      <c r="F14" s="30" t="s">
        <v>524</v>
      </c>
      <c r="G14" s="30" t="s">
        <v>471</v>
      </c>
      <c r="H14" s="30" t="s">
        <v>525</v>
      </c>
      <c r="I14" s="30" t="s">
        <v>526</v>
      </c>
      <c r="J14" s="30" t="s">
        <v>527</v>
      </c>
      <c r="K14" s="30" t="s">
        <v>510</v>
      </c>
    </row>
    <row r="15" customFormat="false" ht="15" hidden="false" customHeight="true" outlineLevel="0" collapsed="false">
      <c r="A15" s="52" t="s">
        <v>528</v>
      </c>
      <c r="B15" s="52" t="s">
        <v>467</v>
      </c>
      <c r="C15" s="52" t="s">
        <v>468</v>
      </c>
      <c r="D15" s="53" t="n">
        <v>0</v>
      </c>
      <c r="E15" s="52" t="s">
        <v>529</v>
      </c>
      <c r="F15" s="52" t="s">
        <v>530</v>
      </c>
      <c r="G15" s="52" t="s">
        <v>471</v>
      </c>
      <c r="H15" s="52" t="s">
        <v>472</v>
      </c>
      <c r="I15" s="52" t="s">
        <v>531</v>
      </c>
      <c r="J15" s="52" t="s">
        <v>532</v>
      </c>
      <c r="K15" s="52" t="s">
        <v>533</v>
      </c>
    </row>
    <row r="16" customFormat="false" ht="15" hidden="false" customHeight="true" outlineLevel="0" collapsed="false">
      <c r="A16" s="30" t="s">
        <v>534</v>
      </c>
      <c r="B16" s="30" t="s">
        <v>467</v>
      </c>
      <c r="C16" s="30" t="s">
        <v>468</v>
      </c>
      <c r="D16" s="54" t="n">
        <v>0</v>
      </c>
      <c r="E16" s="30" t="s">
        <v>494</v>
      </c>
      <c r="F16" s="30" t="s">
        <v>535</v>
      </c>
      <c r="G16" s="30" t="s">
        <v>471</v>
      </c>
      <c r="H16" s="30" t="s">
        <v>496</v>
      </c>
      <c r="I16" s="30" t="s">
        <v>536</v>
      </c>
      <c r="J16" s="30" t="s">
        <v>537</v>
      </c>
      <c r="K16" s="30" t="s">
        <v>533</v>
      </c>
    </row>
    <row r="17" customFormat="false" ht="15" hidden="false" customHeight="true" outlineLevel="0" collapsed="false">
      <c r="A17" s="52" t="s">
        <v>538</v>
      </c>
      <c r="B17" s="52" t="s">
        <v>517</v>
      </c>
      <c r="C17" s="52" t="s">
        <v>468</v>
      </c>
      <c r="D17" s="53" t="n">
        <v>0</v>
      </c>
      <c r="E17" s="52" t="s">
        <v>494</v>
      </c>
      <c r="F17" s="52" t="s">
        <v>535</v>
      </c>
      <c r="G17" s="52" t="s">
        <v>471</v>
      </c>
      <c r="H17" s="52" t="s">
        <v>496</v>
      </c>
      <c r="I17" s="52" t="s">
        <v>539</v>
      </c>
      <c r="J17" s="52" t="s">
        <v>540</v>
      </c>
      <c r="K17" s="52" t="s">
        <v>496</v>
      </c>
    </row>
    <row r="18" customFormat="false" ht="15" hidden="false" customHeight="true" outlineLevel="0" collapsed="false">
      <c r="A18" s="30" t="s">
        <v>541</v>
      </c>
      <c r="B18" s="30" t="s">
        <v>467</v>
      </c>
      <c r="C18" s="30" t="s">
        <v>468</v>
      </c>
      <c r="D18" s="54" t="n">
        <v>95</v>
      </c>
      <c r="E18" s="30" t="s">
        <v>542</v>
      </c>
      <c r="F18" s="30" t="s">
        <v>543</v>
      </c>
      <c r="G18" s="30" t="s">
        <v>471</v>
      </c>
      <c r="H18" s="30" t="s">
        <v>478</v>
      </c>
      <c r="I18" s="30" t="s">
        <v>544</v>
      </c>
      <c r="J18" s="30" t="s">
        <v>545</v>
      </c>
      <c r="K18" s="30" t="s">
        <v>546</v>
      </c>
    </row>
    <row r="19" customFormat="false" ht="15" hidden="false" customHeight="true" outlineLevel="0" collapsed="false">
      <c r="A19" s="52" t="s">
        <v>547</v>
      </c>
      <c r="B19" s="52" t="s">
        <v>482</v>
      </c>
      <c r="C19" s="52" t="s">
        <v>468</v>
      </c>
      <c r="D19" s="53" t="n">
        <v>150</v>
      </c>
      <c r="E19" s="52" t="s">
        <v>494</v>
      </c>
      <c r="F19" s="52" t="s">
        <v>548</v>
      </c>
      <c r="G19" s="52" t="s">
        <v>471</v>
      </c>
      <c r="H19" s="52" t="s">
        <v>496</v>
      </c>
      <c r="I19" s="52" t="s">
        <v>549</v>
      </c>
      <c r="J19" s="52" t="s">
        <v>550</v>
      </c>
      <c r="K19" s="52" t="s">
        <v>551</v>
      </c>
    </row>
    <row r="20" customFormat="false" ht="15" hidden="false" customHeight="true" outlineLevel="0" collapsed="false">
      <c r="A20" s="30" t="s">
        <v>552</v>
      </c>
      <c r="B20" s="30" t="s">
        <v>482</v>
      </c>
      <c r="C20" s="30" t="s">
        <v>468</v>
      </c>
      <c r="D20" s="54" t="n">
        <v>550</v>
      </c>
      <c r="E20" s="30" t="s">
        <v>494</v>
      </c>
      <c r="F20" s="30" t="s">
        <v>553</v>
      </c>
      <c r="G20" s="30" t="s">
        <v>471</v>
      </c>
      <c r="H20" s="30" t="s">
        <v>496</v>
      </c>
      <c r="I20" s="30" t="s">
        <v>554</v>
      </c>
      <c r="J20" s="30" t="s">
        <v>555</v>
      </c>
      <c r="K20" s="30" t="s">
        <v>551</v>
      </c>
    </row>
    <row r="21" customFormat="false" ht="23.25" hidden="false" customHeight="true" outlineLevel="0" collapsed="false">
      <c r="A21" s="52" t="s">
        <v>556</v>
      </c>
      <c r="B21" s="52" t="s">
        <v>482</v>
      </c>
      <c r="C21" s="52" t="s">
        <v>468</v>
      </c>
      <c r="D21" s="53" t="n">
        <v>650</v>
      </c>
      <c r="E21" s="52" t="s">
        <v>557</v>
      </c>
      <c r="F21" s="52" t="s">
        <v>558</v>
      </c>
      <c r="G21" s="52" t="s">
        <v>471</v>
      </c>
      <c r="H21" s="52" t="s">
        <v>472</v>
      </c>
      <c r="I21" s="52" t="s">
        <v>559</v>
      </c>
      <c r="J21" s="52" t="s">
        <v>560</v>
      </c>
      <c r="K21" s="52" t="s">
        <v>561</v>
      </c>
    </row>
    <row r="22" customFormat="false" ht="15" hidden="false" customHeight="true" outlineLevel="0" collapsed="false">
      <c r="A22" s="30" t="s">
        <v>562</v>
      </c>
      <c r="B22" s="30" t="s">
        <v>467</v>
      </c>
      <c r="C22" s="30" t="s">
        <v>468</v>
      </c>
      <c r="D22" s="54" t="n">
        <v>99</v>
      </c>
      <c r="E22" s="30" t="s">
        <v>494</v>
      </c>
      <c r="F22" s="30" t="s">
        <v>563</v>
      </c>
      <c r="G22" s="30" t="s">
        <v>471</v>
      </c>
      <c r="H22" s="30" t="s">
        <v>496</v>
      </c>
      <c r="I22" s="30" t="s">
        <v>564</v>
      </c>
      <c r="J22" s="30" t="s">
        <v>565</v>
      </c>
      <c r="K22" s="30" t="s">
        <v>566</v>
      </c>
    </row>
    <row r="23" customFormat="false" ht="15" hidden="false" customHeight="true" outlineLevel="0" collapsed="false">
      <c r="A23" s="52" t="s">
        <v>567</v>
      </c>
      <c r="B23" s="52" t="s">
        <v>482</v>
      </c>
      <c r="C23" s="52" t="s">
        <v>468</v>
      </c>
      <c r="D23" s="53" t="n">
        <v>150</v>
      </c>
      <c r="E23" s="52" t="s">
        <v>568</v>
      </c>
      <c r="F23" s="52" t="s">
        <v>569</v>
      </c>
      <c r="G23" s="52" t="s">
        <v>471</v>
      </c>
      <c r="H23" s="52" t="s">
        <v>472</v>
      </c>
      <c r="I23" s="52" t="s">
        <v>570</v>
      </c>
      <c r="J23" s="52" t="s">
        <v>571</v>
      </c>
      <c r="K23" s="52" t="s">
        <v>551</v>
      </c>
    </row>
    <row r="24" customFormat="false" ht="15" hidden="false" customHeight="true" outlineLevel="0" collapsed="false">
      <c r="A24" s="30" t="s">
        <v>572</v>
      </c>
      <c r="B24" s="30" t="s">
        <v>482</v>
      </c>
      <c r="C24" s="30" t="s">
        <v>468</v>
      </c>
      <c r="D24" s="54" t="n">
        <v>350</v>
      </c>
      <c r="E24" s="30" t="s">
        <v>573</v>
      </c>
      <c r="F24" s="30" t="s">
        <v>574</v>
      </c>
      <c r="G24" s="30" t="s">
        <v>471</v>
      </c>
      <c r="H24" s="30" t="s">
        <v>472</v>
      </c>
      <c r="I24" s="30" t="s">
        <v>575</v>
      </c>
      <c r="J24" s="30" t="s">
        <v>576</v>
      </c>
      <c r="K24" s="30" t="s">
        <v>551</v>
      </c>
    </row>
    <row r="25" customFormat="false" ht="15" hidden="false" customHeight="true" outlineLevel="0" collapsed="false">
      <c r="A25" s="52" t="s">
        <v>577</v>
      </c>
      <c r="B25" s="52" t="s">
        <v>482</v>
      </c>
      <c r="C25" s="52" t="s">
        <v>468</v>
      </c>
      <c r="D25" s="53" t="n">
        <v>650</v>
      </c>
      <c r="E25" s="52" t="s">
        <v>578</v>
      </c>
      <c r="F25" s="52" t="s">
        <v>579</v>
      </c>
      <c r="G25" s="52" t="s">
        <v>471</v>
      </c>
      <c r="H25" s="52" t="s">
        <v>472</v>
      </c>
      <c r="I25" s="52" t="s">
        <v>580</v>
      </c>
      <c r="J25" s="52" t="s">
        <v>581</v>
      </c>
      <c r="K25" s="52" t="s">
        <v>551</v>
      </c>
    </row>
    <row r="26" customFormat="false" ht="15" hidden="false" customHeight="true" outlineLevel="0" collapsed="false">
      <c r="A26" s="30" t="s">
        <v>582</v>
      </c>
      <c r="B26" s="30" t="s">
        <v>467</v>
      </c>
      <c r="C26" s="30" t="s">
        <v>468</v>
      </c>
      <c r="D26" s="54" t="n">
        <v>150</v>
      </c>
      <c r="E26" s="30" t="s">
        <v>494</v>
      </c>
      <c r="F26" s="30" t="s">
        <v>583</v>
      </c>
      <c r="G26" s="30" t="s">
        <v>471</v>
      </c>
      <c r="H26" s="30" t="s">
        <v>496</v>
      </c>
      <c r="I26" s="30" t="s">
        <v>584</v>
      </c>
      <c r="J26" s="30" t="s">
        <v>585</v>
      </c>
      <c r="K26" s="30" t="s">
        <v>566</v>
      </c>
    </row>
    <row r="27" customFormat="false" ht="15" hidden="false" customHeight="true" outlineLevel="0" collapsed="false">
      <c r="A27" s="52" t="s">
        <v>586</v>
      </c>
      <c r="B27" s="52" t="s">
        <v>467</v>
      </c>
      <c r="C27" s="52" t="s">
        <v>468</v>
      </c>
      <c r="D27" s="53" t="n">
        <v>695</v>
      </c>
      <c r="E27" s="52" t="s">
        <v>494</v>
      </c>
      <c r="F27" s="52" t="s">
        <v>587</v>
      </c>
      <c r="G27" s="52" t="s">
        <v>471</v>
      </c>
      <c r="H27" s="52" t="s">
        <v>496</v>
      </c>
      <c r="I27" s="52" t="s">
        <v>588</v>
      </c>
      <c r="J27" s="52" t="s">
        <v>589</v>
      </c>
      <c r="K27" s="52" t="s">
        <v>590</v>
      </c>
    </row>
    <row r="28" customFormat="false" ht="15" hidden="false" customHeight="true" outlineLevel="0" collapsed="false">
      <c r="A28" s="30" t="s">
        <v>591</v>
      </c>
      <c r="B28" s="30" t="s">
        <v>467</v>
      </c>
      <c r="C28" s="30" t="s">
        <v>468</v>
      </c>
      <c r="D28" s="54" t="n">
        <v>149</v>
      </c>
      <c r="E28" s="30" t="s">
        <v>494</v>
      </c>
      <c r="F28" s="30" t="s">
        <v>592</v>
      </c>
      <c r="G28" s="30" t="s">
        <v>471</v>
      </c>
      <c r="H28" s="30" t="s">
        <v>496</v>
      </c>
      <c r="I28" s="30" t="s">
        <v>593</v>
      </c>
      <c r="J28" s="30" t="s">
        <v>594</v>
      </c>
      <c r="K28" s="30" t="s">
        <v>590</v>
      </c>
    </row>
    <row r="29" customFormat="false" ht="15" hidden="false" customHeight="true" outlineLevel="0" collapsed="false">
      <c r="A29" s="52" t="s">
        <v>595</v>
      </c>
      <c r="B29" s="52" t="s">
        <v>517</v>
      </c>
      <c r="C29" s="52" t="s">
        <v>468</v>
      </c>
      <c r="D29" s="53" t="n">
        <v>99</v>
      </c>
      <c r="E29" s="52" t="s">
        <v>494</v>
      </c>
      <c r="F29" s="52" t="s">
        <v>596</v>
      </c>
      <c r="G29" s="52" t="s">
        <v>471</v>
      </c>
      <c r="H29" s="52" t="s">
        <v>496</v>
      </c>
      <c r="I29" s="52" t="s">
        <v>597</v>
      </c>
      <c r="J29" s="52" t="s">
        <v>598</v>
      </c>
      <c r="K29" s="52" t="s">
        <v>599</v>
      </c>
    </row>
    <row r="30" customFormat="false" ht="15" hidden="false" customHeight="true" outlineLevel="0" collapsed="false">
      <c r="A30" s="30" t="s">
        <v>600</v>
      </c>
      <c r="B30" s="30" t="s">
        <v>482</v>
      </c>
      <c r="C30" s="30" t="s">
        <v>601</v>
      </c>
      <c r="D30" s="54" t="n">
        <v>0</v>
      </c>
      <c r="E30" s="30" t="s">
        <v>602</v>
      </c>
      <c r="F30" s="30" t="s">
        <v>603</v>
      </c>
      <c r="G30" s="30" t="s">
        <v>471</v>
      </c>
      <c r="H30" s="30" t="s">
        <v>472</v>
      </c>
      <c r="I30" s="30" t="s">
        <v>604</v>
      </c>
      <c r="J30" s="30" t="s">
        <v>605</v>
      </c>
      <c r="K30" s="30" t="s">
        <v>606</v>
      </c>
    </row>
    <row r="31" customFormat="false" ht="15" hidden="false" customHeight="true" outlineLevel="0" collapsed="false">
      <c r="A31" s="52" t="s">
        <v>607</v>
      </c>
      <c r="B31" s="52" t="s">
        <v>482</v>
      </c>
      <c r="C31" s="52" t="s">
        <v>601</v>
      </c>
      <c r="D31" s="53" t="n">
        <v>375</v>
      </c>
      <c r="E31" s="52" t="s">
        <v>608</v>
      </c>
      <c r="F31" s="52" t="s">
        <v>609</v>
      </c>
      <c r="G31" s="52" t="s">
        <v>471</v>
      </c>
      <c r="H31" s="52" t="s">
        <v>478</v>
      </c>
      <c r="I31" s="52" t="s">
        <v>610</v>
      </c>
      <c r="J31" s="52" t="s">
        <v>611</v>
      </c>
      <c r="K31" s="52" t="s">
        <v>612</v>
      </c>
    </row>
    <row r="32" customFormat="false" ht="15" hidden="false" customHeight="true" outlineLevel="0" collapsed="false">
      <c r="A32" s="30" t="s">
        <v>613</v>
      </c>
      <c r="B32" s="30" t="s">
        <v>482</v>
      </c>
      <c r="C32" s="30" t="s">
        <v>601</v>
      </c>
      <c r="D32" s="54" t="n">
        <v>895</v>
      </c>
      <c r="E32" s="30" t="s">
        <v>614</v>
      </c>
      <c r="F32" s="30" t="s">
        <v>615</v>
      </c>
      <c r="G32" s="30" t="s">
        <v>471</v>
      </c>
      <c r="H32" s="30" t="s">
        <v>478</v>
      </c>
      <c r="I32" s="30" t="s">
        <v>490</v>
      </c>
      <c r="J32" s="30" t="s">
        <v>616</v>
      </c>
      <c r="K32" s="30" t="s">
        <v>617</v>
      </c>
    </row>
    <row r="33" customFormat="false" ht="15" hidden="false" customHeight="true" outlineLevel="0" collapsed="false">
      <c r="A33" s="52" t="s">
        <v>618</v>
      </c>
      <c r="B33" s="52" t="s">
        <v>467</v>
      </c>
      <c r="C33" s="52" t="s">
        <v>601</v>
      </c>
      <c r="D33" s="53" t="n">
        <v>95</v>
      </c>
      <c r="E33" s="52" t="s">
        <v>619</v>
      </c>
      <c r="F33" s="52" t="s">
        <v>620</v>
      </c>
      <c r="G33" s="52" t="s">
        <v>471</v>
      </c>
      <c r="H33" s="52" t="s">
        <v>472</v>
      </c>
      <c r="I33" s="52" t="s">
        <v>621</v>
      </c>
      <c r="J33" s="52" t="s">
        <v>622</v>
      </c>
      <c r="K33" s="52" t="s">
        <v>612</v>
      </c>
    </row>
    <row r="34" customFormat="false" ht="15" hidden="false" customHeight="true" outlineLevel="0" collapsed="false">
      <c r="A34" s="30" t="s">
        <v>623</v>
      </c>
      <c r="B34" s="30" t="s">
        <v>467</v>
      </c>
      <c r="C34" s="30" t="s">
        <v>601</v>
      </c>
      <c r="D34" s="54" t="n">
        <v>0</v>
      </c>
      <c r="E34" s="30" t="s">
        <v>624</v>
      </c>
      <c r="F34" s="30" t="s">
        <v>625</v>
      </c>
      <c r="G34" s="30" t="s">
        <v>471</v>
      </c>
      <c r="H34" s="30" t="s">
        <v>478</v>
      </c>
      <c r="I34" s="30" t="s">
        <v>626</v>
      </c>
      <c r="J34" s="30" t="s">
        <v>627</v>
      </c>
      <c r="K34" s="30" t="s">
        <v>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4A"/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11" t="s">
        <v>628</v>
      </c>
    </row>
    <row r="2" customFormat="false" ht="19.5" hidden="false" customHeight="true" outlineLevel="0" collapsed="false">
      <c r="A2" s="12" t="s">
        <v>629</v>
      </c>
    </row>
    <row r="3" customFormat="false" ht="25.5" hidden="false" customHeight="true" outlineLevel="0" collapsed="false">
      <c r="A3" s="13" t="s">
        <v>630</v>
      </c>
    </row>
    <row r="5" customFormat="false" ht="24" hidden="false" customHeight="true" outlineLevel="0" collapsed="false">
      <c r="A5" s="22" t="s">
        <v>631</v>
      </c>
      <c r="B5" s="34" t="s">
        <v>632</v>
      </c>
    </row>
    <row r="6" customFormat="false" ht="24" hidden="false" customHeight="true" outlineLevel="0" collapsed="false">
      <c r="A6" s="22" t="s">
        <v>633</v>
      </c>
      <c r="B6" s="55" t="str">
        <f aca="false">IF('3. CARD AUDIT'!C18=0,"— complete Section 3 —",TEXT('3. CARD AUDIT'!C18,"$#,##0")&amp;"  /  "&amp;TEXT('3. CARD AUDIT'!D18,"$#,##0")&amp;"  /  "&amp;TEXT('3. CARD AUDIT'!H18,"0.0%"))</f>
        <v>$10,000  /  $850  /  8.5%</v>
      </c>
    </row>
    <row r="7" customFormat="false" ht="24" hidden="false" customHeight="true" outlineLevel="0" collapsed="false">
      <c r="A7" s="22" t="s">
        <v>634</v>
      </c>
      <c r="B7" s="55" t="str">
        <f aca="false">IF('9. FEE ANALYSIS'!B16=0,"— complete Section 9 —",TEXT('9. FEE ANALYSIS'!B16,"$#,##0"))</f>
        <v>$325</v>
      </c>
    </row>
    <row r="8" customFormat="false" ht="24" hidden="false" customHeight="true" outlineLevel="0" collapsed="false">
      <c r="A8" s="22" t="s">
        <v>635</v>
      </c>
      <c r="B8" s="34" t="s">
        <v>636</v>
      </c>
    </row>
    <row r="9" customFormat="false" ht="24" hidden="false" customHeight="true" outlineLevel="0" collapsed="false">
      <c r="A9" s="22" t="s">
        <v>637</v>
      </c>
      <c r="B9" s="34" t="s">
        <v>638</v>
      </c>
    </row>
    <row r="10" customFormat="false" ht="30" hidden="false" customHeight="true" outlineLevel="0" collapsed="false">
      <c r="A10" s="22" t="s">
        <v>639</v>
      </c>
      <c r="B10" s="34" t="s">
        <v>640</v>
      </c>
    </row>
    <row r="11" customFormat="false" ht="30" hidden="false" customHeight="true" outlineLevel="0" collapsed="false">
      <c r="A11" s="22" t="s">
        <v>641</v>
      </c>
      <c r="B11" s="34" t="s">
        <v>642</v>
      </c>
    </row>
    <row r="12" customFormat="false" ht="30" hidden="false" customHeight="true" outlineLevel="0" collapsed="false">
      <c r="A12" s="22" t="s">
        <v>643</v>
      </c>
      <c r="B12" s="34" t="s">
        <v>644</v>
      </c>
    </row>
    <row r="13" customFormat="false" ht="24" hidden="false" customHeight="true" outlineLevel="0" collapsed="false">
      <c r="A13" s="22" t="s">
        <v>645</v>
      </c>
      <c r="B13" s="34" t="s">
        <v>280</v>
      </c>
    </row>
    <row r="14" customFormat="false" ht="30" hidden="false" customHeight="true" outlineLevel="0" collapsed="false">
      <c r="A14" s="22" t="s">
        <v>646</v>
      </c>
      <c r="B14" s="34" t="s">
        <v>647</v>
      </c>
    </row>
    <row r="15" customFormat="false" ht="30" hidden="false" customHeight="true" outlineLevel="0" collapsed="false">
      <c r="A15" s="22" t="s">
        <v>648</v>
      </c>
      <c r="B15" s="34" t="s">
        <v>649</v>
      </c>
    </row>
    <row r="16" customFormat="false" ht="30" hidden="false" customHeight="true" outlineLevel="0" collapsed="false">
      <c r="A16" s="22" t="s">
        <v>650</v>
      </c>
      <c r="B16" s="34" t="s">
        <v>651</v>
      </c>
    </row>
    <row r="18" customFormat="false" ht="15" hidden="false" customHeight="true" outlineLevel="0" collapsed="false">
      <c r="A18" s="56" t="s">
        <v>652</v>
      </c>
      <c r="B18" s="34"/>
    </row>
    <row r="20" customFormat="false" ht="53.25" hidden="false" customHeight="true" outlineLevel="0" collapsed="false">
      <c r="A20" s="13" t="s">
        <v>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2026-08-11T03:25:36Z</dcterms:created>
  <dc:creator>openpyxl</dc:creator>
  <dc:description/>
  <dc:language>en-US</dc:language>
  <cp:lastModifiedBy/>
  <dcterms:modified xsi:type="dcterms:W3CDTF">2026-08-11T03:27:05Z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